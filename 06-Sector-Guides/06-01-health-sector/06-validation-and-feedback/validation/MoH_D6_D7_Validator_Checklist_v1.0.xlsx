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V0 Pre-workshop" sheetId="2" state="visible" r:id="rId4"/>
    <sheet name="P Premise" sheetId="3" state="visible" r:id="rId5"/>
    <sheet name="B Business" sheetId="4" state="visible" r:id="rId6"/>
    <sheet name="D Data" sheetId="5" state="visible" r:id="rId7"/>
    <sheet name="A Application" sheetId="6" state="visible" r:id="rId8"/>
    <sheet name="I Integration" sheetId="7" state="visible" r:id="rId9"/>
    <sheet name="T Technology" sheetId="8" state="visible" r:id="rId10"/>
    <sheet name="R1 Timeline" sheetId="9" state="visible" r:id="rId11"/>
    <sheet name="R2 Investment" sheetId="10" state="visible" r:id="rId12"/>
    <sheet name="R3 Risks" sheetId="11" state="visible" r:id="rId13"/>
    <sheet name="R4 Governance" sheetId="12" state="visible" r:id="rId14"/>
    <sheet name="G Commitments" sheetId="13" state="visible" r:id="rId15"/>
    <sheet name="L Legal" sheetId="14" state="visible" r:id="rId16"/>
    <sheet name="X Cross-ref" sheetId="15" state="visible" r:id="rId17"/>
    <sheet name="K Risks" sheetId="16" state="visible" r:id="rId18"/>
    <sheet name="S Coverage" sheetId="17" state="visible" r:id="rId19"/>
    <sheet name="PR Process" sheetId="18" state="visible" r:id="rId20"/>
    <sheet name="Dashboard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<sst xmlns="http://schemas.openxmlformats.org/spreadsheetml/2006/main" count="1336" uniqueCount="932">
  <si>
    <t xml:space="preserve">MoH D6 &amp; D7 Proactive Validator Checklist</t>
  </si>
  <si>
    <t xml:space="preserve">Working instrument for the ITU Project Manager — extended beyond the original 50-item participant checklist</t>
  </si>
  <si>
    <t xml:space="preserve">Programme</t>
  </si>
  <si>
    <t xml:space="preserve">Progressa Enterprise Architecture Programme — [contract reference]</t>
  </si>
  <si>
    <t xml:space="preserve">Audience</t>
  </si>
  <si>
    <t xml:space="preserve">ITU Project Manager (validator), ITU Analyst (scribe), MoH Review Coordinator</t>
  </si>
  <si>
    <t xml:space="preserve">Purpose</t>
  </si>
  <si>
    <t xml:space="preserve">Force active verification of each validation statement — probes, evidence, red flags — instead of passive ‘confirm’</t>
  </si>
  <si>
    <t xml:space="preserve">Companion</t>
  </si>
  <si>
    <t xml:space="preserve">MoH D6 &amp; D7 Validation Checklist.pdf (50 items); MoH_D6_D7_Validation_Session.pptx (23 slides); 3-Day Agenda v1.1 (PM-led)</t>
  </si>
  <si>
    <t xml:space="preserve">Version</t>
  </si>
  <si>
    <t xml:space="preserve">v1.0 — 19 April 2026</t>
  </si>
  <si>
    <t xml:space="preserve">How to use this workbook</t>
  </si>
  <si>
    <t xml:space="preserve">1.</t>
  </si>
  <si>
    <t xml:space="preserve">Work through tabs in order. V0 before Day 1; P on Day 1 morning; B/D/A/I/T/R1/R2/R3/R4 during sessions; G/L in parallel with Day 1–3; K in Day 3 morning; X between sessions; S and PR at session close-outs.</t>
  </si>
  <si>
    <t xml:space="preserve">2.</t>
  </si>
  <si>
    <t xml:space="preserve">For each core item: read the Statement to the room; ask BOTH probes; wait for substantive answers; record Evidence. Only mark Confirmed OK if evidence is present AND no red-flag pattern was uttered.</t>
  </si>
  <si>
    <t xml:space="preserve">3.</t>
  </si>
  <si>
    <t xml:space="preserve">If a Red-flag pattern is heard, do NOT mark Confirmed. Classify instead as Clarification / Correction / Objection / Enhancement per the rules.</t>
  </si>
  <si>
    <t xml:space="preserve">4.</t>
  </si>
  <si>
    <t xml:space="preserve">Any deep-technical question beyond the PM brief is PARKED verbatim and deferred to the Lead Architect for written response within 48 hours of Day 3 close.</t>
  </si>
  <si>
    <t xml:space="preserve">5.</t>
  </si>
  <si>
    <t xml:space="preserve">Linked items: if you classify an item, check every item listed in Linked — there is likely a propagation effect.</t>
  </si>
  <si>
    <t xml:space="preserve">6.</t>
  </si>
  <si>
    <t xml:space="preserve">At end of each day: run Tab 16 (Process Integrity) self-check before leaving the room. At end of Day 3: Tab 17 (Dashboard) must show zero Pending before the decision memo is signed.</t>
  </si>
  <si>
    <t xml:space="preserve">Classification legend</t>
  </si>
  <si>
    <t xml:space="preserve">Category</t>
  </si>
  <si>
    <t xml:space="preserve">Meaning</t>
  </si>
  <si>
    <t xml:space="preserve">Priority</t>
  </si>
  <si>
    <t xml:space="preserve">Confirmed OK</t>
  </si>
  <si>
    <t xml:space="preserve">Statement is accepted with evidence; no red-flag pattern.</t>
  </si>
  <si>
    <t xml:space="preserve">NONE</t>
  </si>
  <si>
    <t xml:space="preserve">Correction</t>
  </si>
  <si>
    <t xml:space="preserve">A factual error that must be fixed.</t>
  </si>
  <si>
    <t xml:space="preserve">HIGH</t>
  </si>
  <si>
    <t xml:space="preserve">Clarification</t>
  </si>
  <si>
    <t xml:space="preserve">Unclear or insufficiently evidenced; needs more info before Confirm.</t>
  </si>
  <si>
    <t xml:space="preserve">MEDIUM</t>
  </si>
  <si>
    <t xml:space="preserve">Enhancement</t>
  </si>
  <si>
    <t xml:space="preserve">A suggestion to improve; not blocking.</t>
  </si>
  <si>
    <t xml:space="preserve">LOW</t>
  </si>
  <si>
    <t xml:space="preserve">Objection</t>
  </si>
  <si>
    <t xml:space="preserve">Fundamental disagreement; cannot proceed without resolution.</t>
  </si>
  <si>
    <t xml:space="preserve">CRITICAL</t>
  </si>
  <si>
    <t xml:space="preserve">N/A</t>
  </si>
  <si>
    <t xml:space="preserve">Item does not apply to this workshop / stakeholder.</t>
  </si>
  <si>
    <t xml:space="preserve">Pending</t>
  </si>
  <si>
    <t xml:space="preserve">Not yet reviewed.</t>
  </si>
  <si>
    <t xml:space="preserve">V0 — Pre-workshop Readiness (run BEFORE Day 1)</t>
  </si>
  <si>
    <t xml:space="preserve">ID</t>
  </si>
  <si>
    <t xml:space="preserve">Check / Statement</t>
  </si>
  <si>
    <t xml:space="preserve">How to Verify (Procedure / Probe)</t>
  </si>
  <si>
    <t xml:space="preserve">Evidence Required</t>
  </si>
  <si>
    <t xml:space="preserve">Red-flag Pattern</t>
  </si>
  <si>
    <t xml:space="preserve">Owner</t>
  </si>
  <si>
    <t xml:space="preserve">Status</t>
  </si>
  <si>
    <t xml:space="preserve">Notes</t>
  </si>
  <si>
    <t xml:space="preserve">V01</t>
  </si>
  <si>
    <t xml:space="preserve">Participant list is complete; every mandatory attendee has accepted.</t>
  </si>
  <si>
    <t xml:space="preserve">Review RSVP tracker; for each mandatory role cross-check acceptance.</t>
  </si>
  <si>
    <t xml:space="preserve">Signed attendance commitment per mandatory role.</t>
  </si>
  <si>
    <t xml:space="preserve">Any unreturned mandatory RSVP → escalate to PS chief of staff.</t>
  </si>
  <si>
    <t xml:space="preserve">ITU Analyst</t>
  </si>
  <si>
    <t xml:space="preserve">V02</t>
  </si>
  <si>
    <t xml:space="preserve">All participants received digital pack (D6, D7, checklist) by T-10.</t>
  </si>
  <si>
    <t xml:space="preserve">Send tracker; re-send to non-openers.</t>
  </si>
  <si>
    <t xml:space="preserve">E-mail receipts; read-receipt log (where available).</t>
  </si>
  <si>
    <t xml:space="preserve">≥30% of participants didn’t open by T-5 → PM calls them directly.</t>
  </si>
  <si>
    <t xml:space="preserve">V03</t>
  </si>
  <si>
    <t xml:space="preserve">Printed bundles delivered to each attendee by T-5.</t>
  </si>
  <si>
    <t xml:space="preserve">Physical stock count; delivery confirmation.</t>
  </si>
  <si>
    <t xml:space="preserve">Courier / MoH logistics sign-off.</t>
  </si>
  <si>
    <t xml:space="preserve">Less than one bundle per seat → Blocked.</t>
  </si>
  <si>
    <t xml:space="preserve">MoH logistics</t>
  </si>
  <si>
    <t xml:space="preserve">V04</t>
  </si>
  <si>
    <t xml:space="preserve">PS delegation pre-read briefing completed (T-7).</t>
  </si>
  <si>
    <t xml:space="preserve">Calendar shows 60-min slot; briefing pack delivered.</t>
  </si>
  <si>
    <t xml:space="preserve">Briefing deck; PS office confirmation.</t>
  </si>
  <si>
    <t xml:space="preserve">PS delegation didn’t attend → reschedule pre-read.</t>
  </si>
  <si>
    <t xml:space="preserve">ITU Project Manager</t>
  </si>
  <si>
    <t xml:space="preserve">V05</t>
  </si>
  <si>
    <t xml:space="preserve">Each programme lead walk-through completed (T-3).</t>
  </si>
  <si>
    <t xml:space="preserve">8 walk-throughs done; notes captured.</t>
  </si>
  <si>
    <t xml:space="preserve">Walk-through notes per programme lead.</t>
  </si>
  <si>
    <t xml:space="preserve">Missed walk-through → cover with live briefing Day 1 morning.</t>
  </si>
  <si>
    <t xml:space="preserve">V06</t>
  </si>
  <si>
    <t xml:space="preserve">Decision signatories (PS, PDGA DG, RDIP PM) confirmed attendance for entire Day 3.</t>
  </si>
  <si>
    <t xml:space="preserve">Calendar holds in all three diaries.</t>
  </si>
  <si>
    <t xml:space="preserve">Dual-confirmed calendar invitations.</t>
  </si>
  <si>
    <t xml:space="preserve">Any partial attendance → decision-memo plan B.</t>
  </si>
  <si>
    <t xml:space="preserve">PS Chief of Staff</t>
  </si>
  <si>
    <t xml:space="preserve">V07</t>
  </si>
  <si>
    <t xml:space="preserve">Venue booked, tested (projector, network, breakout).</t>
  </si>
  <si>
    <t xml:space="preserve">Walk the room T-1; test projector; test network speed.</t>
  </si>
  <si>
    <t xml:space="preserve">Test report; contingency laptop + HDMI adapter.</t>
  </si>
  <si>
    <t xml:space="preserve">Network &lt; 10 Mbps → print-only fallback prepared.</t>
  </si>
  <si>
    <t xml:space="preserve">ITU Analyst + MoH logistics</t>
  </si>
  <si>
    <t xml:space="preserve">V08</t>
  </si>
  <si>
    <t xml:space="preserve">Feedback log spreadsheet prepared and tested; real-time editing works.</t>
  </si>
  <si>
    <t xml:space="preserve">Dry-run populate 3 test items.</t>
  </si>
  <si>
    <t xml:space="preserve">Test-populated feedback log.</t>
  </si>
  <si>
    <t xml:space="preserve">Cloud-sync flaky → use local + manual sync.</t>
  </si>
  <si>
    <t xml:space="preserve">V09</t>
  </si>
  <si>
    <t xml:space="preserve">Parking-lot flipchart and coloured-dot stickers available.</t>
  </si>
  <si>
    <t xml:space="preserve">Physical inventory in the room.</t>
  </si>
  <si>
    <t xml:space="preserve">Photo of set-up.</t>
  </si>
  <si>
    <t xml:space="preserve">Missing → procure day-before.</t>
  </si>
  <si>
    <t xml:space="preserve">V10</t>
  </si>
  <si>
    <t xml:space="preserve">Category posters (CORRECTION / CLARIFICATION / ENHANCEMENT / OBJECTION) printed and mounted.</t>
  </si>
  <si>
    <t xml:space="preserve">Wall-mount in sight of every participant.</t>
  </si>
  <si>
    <t xml:space="preserve">Photo of posters.</t>
  </si>
  <si>
    <t xml:space="preserve">Missing → print on A3.</t>
  </si>
  <si>
    <t xml:space="preserve">V11</t>
  </si>
  <si>
    <t xml:space="preserve">PM T-8 hand-over from Lead Architect complete; hotspot list in hand.</t>
  </si>
  <si>
    <t xml:space="preserve">Half-day session completed; PM briefing pack received.</t>
  </si>
  <si>
    <t xml:space="preserve">Hand-over meeting notes; hotspot list.</t>
  </si>
  <si>
    <t xml:space="preserve">Any slide the PM cannot explain in their own words → extra coaching.</t>
  </si>
  <si>
    <t xml:space="preserve">ITU PM + Lead Architect</t>
  </si>
  <si>
    <t xml:space="preserve">V12</t>
  </si>
  <si>
    <t xml:space="preserve">PM has scripted responses for the top-5 likely objections.</t>
  </si>
  <si>
    <t xml:space="preserve">Review objection playbook; PM rehearsal.</t>
  </si>
  <si>
    <t xml:space="preserve">Scripted responses document.</t>
  </si>
  <si>
    <t xml:space="preserve">PM hasn’t rehearsed → last-day rehearsal mandatory.</t>
  </si>
  <si>
    <t xml:space="preserve">V13</t>
  </si>
  <si>
    <t xml:space="preserve">Attendance register and badges prepared.</t>
  </si>
  <si>
    <t xml:space="preserve">Printed register + pre-printed badges.</t>
  </si>
  <si>
    <t xml:space="preserve">Sign-in table ready.</t>
  </si>
  <si>
    <t xml:space="preserve">Missing → improvise Day 1 morning.</t>
  </si>
  <si>
    <t xml:space="preserve">V14</t>
  </si>
  <si>
    <t xml:space="preserve">Catering confirmed for all 3 days (coffee breaks, lunches).</t>
  </si>
  <si>
    <t xml:space="preserve">Confirmed with caterer; dietary requests collected.</t>
  </si>
  <si>
    <t xml:space="preserve">Catering confirmation.</t>
  </si>
  <si>
    <t xml:space="preserve">Not confirmed → PM follow-up.</t>
  </si>
  <si>
    <t xml:space="preserve">V15</t>
  </si>
  <si>
    <t xml:space="preserve">Emergency technical contact (Lead Architect) reachable within 48h.</t>
  </si>
  <si>
    <t xml:space="preserve">Architect’s phone/e-mail distributed to PM team.</t>
  </si>
  <si>
    <t xml:space="preserve">Contact sheet.</t>
  </si>
  <si>
    <t xml:space="preserve">Unreachable — backup contact named.</t>
  </si>
  <si>
    <t xml:space="preserve">P — D5 Premise Re-confirmation (Day 1 morning, S1.2)</t>
  </si>
  <si>
    <t xml:space="preserve">P01</t>
  </si>
  <si>
    <t xml:space="preserve">~90 health facilities figure accepted by MoH delegation.</t>
  </si>
  <si>
    <t xml:space="preserve">Facilitator reads figure; pause for objection.</t>
  </si>
  <si>
    <t xml:space="preserve">No floor objection.</t>
  </si>
  <si>
    <t xml:space="preserve">Any objection → Correction; escalate to D5 re-open decision.</t>
  </si>
  <si>
    <t xml:space="preserve">Director of Health Services</t>
  </si>
  <si>
    <t xml:space="preserve">P02</t>
  </si>
  <si>
    <t xml:space="preserve">2–3M population served figure accepted.</t>
  </si>
  <si>
    <t xml:space="preserve">Facilitator reads; pause for objection.</t>
  </si>
  <si>
    <t xml:space="preserve">No objection.</t>
  </si>
  <si>
    <t xml:space="preserve">Objection on population → Correction.</t>
  </si>
  <si>
    <t xml:space="preserve">MoH PS</t>
  </si>
  <si>
    <t xml:space="preserve">P03</t>
  </si>
  <si>
    <t xml:space="preserve">Eight digital systems list is complete (no missing system).</t>
  </si>
  <si>
    <t xml:space="preserve">Read list: DHIS2, eCRVS/CIVIS, e-NHIS, SPT, A-LIS, OpenLMIS pilot, SMS for Health, Stock-out module(?).</t>
  </si>
  <si>
    <t xml:space="preserve">Programme leads confirm no omission.</t>
  </si>
  <si>
    <t xml:space="preserve">Any programme lead names a missing system → Correction.</t>
  </si>
  <si>
    <t xml:space="preserve">DHDD Director + programme leads</t>
  </si>
  <si>
    <t xml:space="preserve">P04</t>
  </si>
  <si>
    <t xml:space="preserve">The single automated integration (SPT-to-DHIS2) is accurate.</t>
  </si>
  <si>
    <t xml:space="preserve">Facilitator reads; ask if any other automation exists.</t>
  </si>
  <si>
    <t xml:space="preserve">No missing automation.</t>
  </si>
  <si>
    <t xml:space="preserve">Someone names another automation → Correction to D5 and cascades.</t>
  </si>
  <si>
    <t xml:space="preserve">HMIS Coordinator</t>
  </si>
  <si>
    <t xml:space="preserve">P05</t>
  </si>
  <si>
    <t xml:space="preserve">~90% paper-clinical-records figure accepted.</t>
  </si>
  <si>
    <t xml:space="preserve">Read figure; pause.</t>
  </si>
  <si>
    <t xml:space="preserve">Objection → Clarification.</t>
  </si>
  <si>
    <t xml:space="preserve">P06</t>
  </si>
  <si>
    <t xml:space="preserve">~50% eCRVS population coverage accepted.</t>
  </si>
  <si>
    <t xml:space="preserve">Read figure; eCRVS lead confirms.</t>
  </si>
  <si>
    <t xml:space="preserve">eCRVS confirmation.</t>
  </si>
  <si>
    <t xml:space="preserve">eCRVS lead disputes → Correction.</t>
  </si>
  <si>
    <t xml:space="preserve">eCRVS/CIVIS lead</t>
  </si>
  <si>
    <t xml:space="preserve">P07</t>
  </si>
  <si>
    <t xml:space="preserve">~30% e-NHIS enrolment (vs 60k target) accepted.</t>
  </si>
  <si>
    <t xml:space="preserve">Read figure; NHIA confirms.</t>
  </si>
  <si>
    <t xml:space="preserve">NHIA confirmation.</t>
  </si>
  <si>
    <t xml:space="preserve">NHIA disputes → Correction.</t>
  </si>
  <si>
    <t xml:space="preserve">e-NHIS CEO</t>
  </si>
  <si>
    <t xml:space="preserve">P08</t>
  </si>
  <si>
    <t xml:space="preserve">~60% national electricity access accepted as baseline for offline-first design.</t>
  </si>
  <si>
    <t xml:space="preserve">Read; accept as baseline.</t>
  </si>
  <si>
    <t xml:space="preserve">Any dispute → Clarification; offline-first principle unchanged.</t>
  </si>
  <si>
    <t xml:space="preserve">PDGA DG</t>
  </si>
  <si>
    <t xml:space="preserve">Core Validation — Business Architecture (D6 §3)</t>
  </si>
  <si>
    <t xml:space="preserve">D6/D7 Ref</t>
  </si>
  <si>
    <t xml:space="preserve">Statement</t>
  </si>
  <si>
    <t xml:space="preserve">Probe 1</t>
  </si>
  <si>
    <t xml:space="preserve">Probe 2</t>
  </si>
  <si>
    <t xml:space="preserve">Red-flag Answers</t>
  </si>
  <si>
    <t xml:space="preserve">Primary Response Owner</t>
  </si>
  <si>
    <t xml:space="preserve">Linked Items</t>
  </si>
  <si>
    <t xml:space="preserve">Classification</t>
  </si>
  <si>
    <t xml:space="preserve">Verbatim Comment</t>
  </si>
  <si>
    <t xml:space="preserve">Proposed Change</t>
  </si>
  <si>
    <t xml:space="preserve">Action Owner</t>
  </si>
  <si>
    <t xml:space="preserve">Deadline</t>
  </si>
  <si>
    <t xml:space="preserve">B01</t>
  </si>
  <si>
    <t xml:space="preserve">D6 §3.1.1</t>
  </si>
  <si>
    <t xml:space="preserve">The three-tier governance structure (NDHSC → DHDD → 3 TWGs) is appropriate for MoH and addresses the current coordination gap across digital health systems.</t>
  </si>
  <si>
    <t xml:space="preserve">Who chairs NDHSC, and has the Permanent Secretary explicitly confirmed the chair role?</t>
  </si>
  <si>
    <t xml:space="preserve">By which quarter can the Ministerial Order establishing NDHSC realistically be signed?</t>
  </si>
  <si>
    <t xml:space="preserve">PS verbal confirmation on record; target quarter for Ministerial Order; Financial Regulations reference for the authority threshold.</t>
  </si>
  <si>
    <t xml:space="preserve">“We'd need cabinet consultation” / “Threshold should change” / PS silent → do NOT mark Confirmed.</t>
  </si>
  <si>
    <t xml:space="preserve">MoH Permanent Secretary</t>
  </si>
  <si>
    <t xml:space="preserve">G04, L02, R102</t>
  </si>
  <si>
    <t xml:space="preserve">B02</t>
  </si>
  <si>
    <t xml:space="preserve">NDHSC composition (14 members, PS chair, quarterly meetings, authority over investments &gt; USD 50,000) is correct and workable.</t>
  </si>
  <si>
    <t xml:space="preserve">Do all 14 roles currently exist and have incumbents, or are any vacant / under reorganisation?</t>
  </si>
  <si>
    <t xml:space="preserve">Is the quarterly cadence compatible with the PS calendar, and should observer seats exist for PDGA / RDIP / WHO?</t>
  </si>
  <si>
    <t xml:space="preserve">Role list with incumbent names; calendar pre-commitment; observer-seat decision.</t>
  </si>
  <si>
    <t xml:space="preserve">Role doesn’t exist / cadence rejected / threshold disputed.</t>
  </si>
  <si>
    <t xml:space="preserve">MoH Permanent Secretary + DHDD Director</t>
  </si>
  <si>
    <t xml:space="preserve">B03</t>
  </si>
  <si>
    <t xml:space="preserve">D6 §3.1.2</t>
  </si>
  <si>
    <t xml:space="preserve">Upgrading the HMIS team to the Digital Health and Data Directorate (DHDD), with 14 positions across 6 functional areas phased 2025–2028, is realistic within MoH administrative constraints.</t>
  </si>
  <si>
    <t xml:space="preserve">Under which civil-service grades do the 14 positions fall, and does the PSC recruitment calendar allow the phased schedule?</t>
  </si>
  <si>
    <t xml:space="preserve">Are the proposed salaries competitive against the Progressa ICT market, and what secondment or RDIP top-up is planned if not?</t>
  </si>
  <si>
    <t xml:space="preserve">Civil-service grading letter; PSC recruitment calendar commitment; salary benchmark; RDIP supplementation plan.</t>
  </si>
  <si>
    <t xml:space="preserve">“The grades don’t exist” / “The salaries are uncompetitive” → Correction.</t>
  </si>
  <si>
    <t xml:space="preserve">MoH PS + DHDD Director + PSC liaison</t>
  </si>
  <si>
    <t xml:space="preserve">K04, G09</t>
  </si>
  <si>
    <t xml:space="preserve">B04</t>
  </si>
  <si>
    <t xml:space="preserve">D6 §3.2</t>
  </si>
  <si>
    <t xml:space="preserve">The capability maturity targets (Level 3–4 by 2033 for core health-information capabilities) are ambitious but achievable given the investment and timeframes proposed.</t>
  </si>
  <si>
    <t xml:space="preserve">Against which maturity-model definition are the levels measured (HIMSS / OpenHIE / custom)?</t>
  </si>
  <si>
    <t xml:space="preserve">If Wave 1 delivery slips by 6 months, which targets most at risk and does the roadmap admit that?</t>
  </si>
  <si>
    <t xml:space="preserve">Named maturity-model reference; sensitivity analysis in roadmap.</t>
  </si>
  <si>
    <t xml:space="preserve">“We need to see the maturity rubric” → Clarification.</t>
  </si>
  <si>
    <t xml:space="preserve">DHDD Director</t>
  </si>
  <si>
    <t xml:space="preserve">R105</t>
  </si>
  <si>
    <t xml:space="preserve">B05</t>
  </si>
  <si>
    <t xml:space="preserve">D6 §3.3</t>
  </si>
  <si>
    <t xml:space="preserve">The eight priority business processes selected for digitisation correctly reflect MoH’s priorities.</t>
  </si>
  <si>
    <t xml:space="preserve">Is there a process missing from the list (e.g. human-resources-for-health; referrals; emergency dispatch)?</t>
  </si>
  <si>
    <t xml:space="preserve">Is any process on the list out-of-scope or not a priority (e.g. is drug supply a pharmacy function rather than MoH)?</t>
  </si>
  <si>
    <t xml:space="preserve">Written endorsement from each programme lead present.</t>
  </si>
  <si>
    <t xml:space="preserve">Programme lead says “the real priority is X” → Correction.</t>
  </si>
  <si>
    <t xml:space="preserve">Director of Health Services + 8 programme leads</t>
  </si>
  <si>
    <t xml:space="preserve">X01</t>
  </si>
  <si>
    <t xml:space="preserve">B06</t>
  </si>
  <si>
    <t xml:space="preserve">D6 §3.3.2</t>
  </si>
  <si>
    <t xml:space="preserve">The clinical workflow and service-delivery impacts described for each process accurately reflect how health workers currently operate and what they will need in the future.</t>
  </si>
  <si>
    <t xml:space="preserve">Has a facility-based clinician actually reviewed the workflow descriptions? If yes, who?</t>
  </si>
  <si>
    <t xml:space="preserve">What is the biggest workflow friction likely when moving from paper to digital at a busy HC?</t>
  </si>
  <si>
    <t xml:space="preserve">Named clinician reviewer; top-3 friction list.</t>
  </si>
  <si>
    <t xml:space="preserve">“No clinician has reviewed this” → Clarification + escalate to rapid clinician review.</t>
  </si>
  <si>
    <t xml:space="preserve">K09</t>
  </si>
  <si>
    <t xml:space="preserve">B07</t>
  </si>
  <si>
    <t xml:space="preserve">D6 §3.4</t>
  </si>
  <si>
    <t xml:space="preserve">The e-NHIS enrolment expansion from 15,000–20,000 to 60,000+ beneficiaries via mobile enrolment and eCRVS-NIN integration is feasible.</t>
  </si>
  <si>
    <t xml:space="preserve">Does NHIA have call-centre, agent-network and premises capacity for a ~4× enrolment step?</t>
  </si>
  <si>
    <t xml:space="preserve">Is the eCRVS API actually ready for real-time eligibility lookup, or is this assumed?</t>
  </si>
  <si>
    <t xml:space="preserve">NHIA board endorsement letter; eCRVS API readiness attestation; operational-capacity plan.</t>
  </si>
  <si>
    <t xml:space="preserve">“We assume the API will be ready” → Clarification (must be verified).</t>
  </si>
  <si>
    <t xml:space="preserve">e-NHIS/NHIA CEO</t>
  </si>
  <si>
    <t xml:space="preserve">G02, G06</t>
  </si>
  <si>
    <t xml:space="preserve">Core Validation — Data Architecture (D6 §4)</t>
  </si>
  <si>
    <t xml:space="preserve">D01</t>
  </si>
  <si>
    <t xml:space="preserve">D6 §4.1</t>
  </si>
  <si>
    <t xml:space="preserve">The data governance framework (11 domains, Director-level Data Owners, four-tier classification, formal data-sharing agreements) is appropriate for MoH.</t>
  </si>
  <si>
    <t xml:space="preserve">For each of the 11 domains, who is the proposed named Data Owner?</t>
  </si>
  <si>
    <t xml:space="preserve">Is there a data-sharing MoU template ready, and has DPO reviewed it?</t>
  </si>
  <si>
    <t xml:space="preserve">11-domain Data-Owner list; MoU template; DPO review memo.</t>
  </si>
  <si>
    <t xml:space="preserve">“Owners to be named later” → Clarification; cannot Confirm.</t>
  </si>
  <si>
    <t xml:space="preserve">DHDD Director + Data Protection Office</t>
  </si>
  <si>
    <t xml:space="preserve">G10, L06</t>
  </si>
  <si>
    <t xml:space="preserve">D02</t>
  </si>
  <si>
    <t xml:space="preserve">D6 §4.2.1</t>
  </si>
  <si>
    <t xml:space="preserve">The MPI strategy (eCRVS NIN as primary identifier, managed through OpenCR with probabilistic matching) is the correct patient-identity approach.</t>
  </si>
  <si>
    <t xml:space="preserve">What false-positive / false-negative thresholds are acceptable for probabilistic matching?</t>
  </si>
  <si>
    <t xml:space="preserve">For patients without a NIN, what is the enrolment path and who issues a temporary identifier?</t>
  </si>
  <si>
    <t xml:space="preserve">Matching threshold policy; unmatched-patient SOP.</t>
  </si>
  <si>
    <t xml:space="preserve">“We’ll figure out the thresholds” → Clarification.</t>
  </si>
  <si>
    <t xml:space="preserve">DHDD Director + eCRVS/CIVIS lead</t>
  </si>
  <si>
    <t xml:space="preserve">G02, G03, A03</t>
  </si>
  <si>
    <t xml:space="preserve">D03</t>
  </si>
  <si>
    <t xml:space="preserve">The data flows between DHIS2, eCRVS, e-NHIS, OpenMRS and A-LIS are accurately and completely described.</t>
  </si>
  <si>
    <t xml:space="preserve">Is any major flow missing (e.g. pharmacy, lab-to-clinician)?</t>
  </si>
  <si>
    <t xml:space="preserve">Are the described flows validated by the owning system’s technical lead?</t>
  </si>
  <si>
    <t xml:space="preserve">Confirmation from each system technical lead; missing-flow list.</t>
  </si>
  <si>
    <t xml:space="preserve">System owner doesn’t recognise the flow as described → Correction.</t>
  </si>
  <si>
    <t xml:space="preserve">I02</t>
  </si>
  <si>
    <t xml:space="preserve">D04</t>
  </si>
  <si>
    <t xml:space="preserve">D6 §4.2.4</t>
  </si>
  <si>
    <t xml:space="preserve">Phased standards adoption (ICD-11 and LOINC first, then SNOMED CT GPS and ATC) is correctly sequenced for MoH’s context and current capacity.</t>
  </si>
  <si>
    <t xml:space="preserve">Is local clinical-coding capacity sufficient for ICD-11 in Wave 1, or is training required?</t>
  </si>
  <si>
    <t xml:space="preserve">What is the source authority for LOINC code selection (local panel, WHO, reference lab)?</t>
  </si>
  <si>
    <t xml:space="preserve">Training plan for coders; LOINC authority source.</t>
  </si>
  <si>
    <t xml:space="preserve">“Coders aren’t trained” → Clarification; escalate.</t>
  </si>
  <si>
    <t xml:space="preserve">HMIS Coordinator + Lab lead</t>
  </si>
  <si>
    <t xml:space="preserve">A07</t>
  </si>
  <si>
    <t xml:space="preserve">D05</t>
  </si>
  <si>
    <t xml:space="preserve">D6 §4.4</t>
  </si>
  <si>
    <t xml:space="preserve">The role of DHIS2 as national health-analytics platform, with a Wave 3 health-data warehouse, is appropriate.</t>
  </si>
  <si>
    <t xml:space="preserve">If an urgent cross-domain analytic need arises in Wave 2, what is the stop-gap?</t>
  </si>
  <si>
    <t xml:space="preserve">Who will run the Wave-3 warehouse — DHDD or a separate analytics unit?</t>
  </si>
  <si>
    <t xml:space="preserve">Stop-gap plan (e.g. DHIS2 pivot, Superset); governance for the warehouse.</t>
  </si>
  <si>
    <t xml:space="preserve">“We’ll deal with Wave-2 analytics when we get there” → Clarification.</t>
  </si>
  <si>
    <t xml:space="preserve">R104</t>
  </si>
  <si>
    <t xml:space="preserve">D06</t>
  </si>
  <si>
    <t xml:space="preserve">D6 §4.5</t>
  </si>
  <si>
    <t xml:space="preserve">The data-residency requirement — all identifiable health data hosted on sovereign (nationally controlled) infrastructure — is correct in the absence of a national data-protection law.</t>
  </si>
  <si>
    <t xml:space="preserve">Does ProgTel/e-Gov DC legally qualify as ‘sovereign’ for the interim?</t>
  </si>
  <si>
    <t xml:space="preserve">What happens to PII in the interim period before G-Cloud?</t>
  </si>
  <si>
    <t xml:space="preserve">Sovereignty legal opinion; interim PII-handling SOP.</t>
  </si>
  <si>
    <t xml:space="preserve">“We’ll clarify sovereignty later” → Objection risk.</t>
  </si>
  <si>
    <t xml:space="preserve">PDGA DG + Data Protection Office</t>
  </si>
  <si>
    <t xml:space="preserve">L01, L06, T01</t>
  </si>
  <si>
    <t xml:space="preserve">Core Validation — Application Architecture (D6 §5)</t>
  </si>
  <si>
    <t xml:space="preserve">A01</t>
  </si>
  <si>
    <t xml:space="preserve">D6 §5.2.1</t>
  </si>
  <si>
    <t xml:space="preserve">DHIS2’s role as the strengthened national HMIS and analytics platform, with Tracker expanded for EIR and case-based IDSR, is correctly described.</t>
  </si>
  <si>
    <t xml:space="preserve">Is the DHIS2 instance version current and supported, or does it need an upgrade?</t>
  </si>
  <si>
    <t xml:space="preserve">Who will perform Tracker configuration for EIR and IDSR, and under what SLA?</t>
  </si>
  <si>
    <t xml:space="preserve">DHIS2 version/support status; Tracker config provider (HISP regional node / MoH).</t>
  </si>
  <si>
    <t xml:space="preserve">“The instance is out of support” → Correction.</t>
  </si>
  <si>
    <t xml:space="preserve">HMIS Coordinator + HISP regional node</t>
  </si>
  <si>
    <t xml:space="preserve">G08, A05, A08</t>
  </si>
  <si>
    <t xml:space="preserve">A02</t>
  </si>
  <si>
    <t xml:space="preserve">D6 §5.2.2</t>
  </si>
  <si>
    <t xml:space="preserve">OpenHIM as the HIE mediator — the hub through which all systems connect — is the correct platform.</t>
  </si>
  <si>
    <t xml:space="preserve">Who will run OpenHIM in production after Wave 1?</t>
  </si>
  <si>
    <t xml:space="preserve">Is the required OpenHIM operational skillset inside DHDD, or must it be contracted in?</t>
  </si>
  <si>
    <t xml:space="preserve">Operational owner; skills inventory + contract plan.</t>
  </si>
  <si>
    <t xml:space="preserve">“We’ll find someone” → Clarification.</t>
  </si>
  <si>
    <t xml:space="preserve">B03, I01</t>
  </si>
  <si>
    <t xml:space="preserve">A03</t>
  </si>
  <si>
    <t xml:space="preserve">D6 §5.2.3</t>
  </si>
  <si>
    <t xml:space="preserve">OpenCR as the MPI platform, anchored to eCRVS NIN, is the correct choice.</t>
  </si>
  <si>
    <t xml:space="preserve">What migration approach is planned for the ~1M eCRVS records becoming the MPI seed?</t>
  </si>
  <si>
    <t xml:space="preserve">Does OpenCR deployment require a separate infrastructure spec, or does it co-host with OpenHIM?</t>
  </si>
  <si>
    <t xml:space="preserve">MPI seed migration plan; OpenCR infra spec.</t>
  </si>
  <si>
    <t xml:space="preserve">“The migration is a detail” → Clarification.</t>
  </si>
  <si>
    <t xml:space="preserve">D02, G02</t>
  </si>
  <si>
    <t xml:space="preserve">A04</t>
  </si>
  <si>
    <t xml:space="preserve">D6 §5.3.1</t>
  </si>
  <si>
    <t xml:space="preserve">OpenMRS as the preferred EHR, deployed first at 15–20 facilities (maternal + HIV/ART) and expanding to 30–40 by 2033, is the right approach.</t>
  </si>
  <si>
    <t xml:space="preserve">Have the 15–20 pilot facilities been named, and do the facility managers know?</t>
  </si>
  <si>
    <t xml:space="preserve">Is OpenMRS to be deployed vanilla, or are local customisations planned? Who owns them?</t>
  </si>
  <si>
    <t xml:space="preserve">Named facility list; customisation plan + owner.</t>
  </si>
  <si>
    <t xml:space="preserve">“Facilities to be selected later” → Clarification.</t>
  </si>
  <si>
    <t xml:space="preserve">Director of Health Services + MCH / HIV programme leads</t>
  </si>
  <si>
    <t xml:space="preserve">B06, K09</t>
  </si>
  <si>
    <t xml:space="preserve">A05</t>
  </si>
  <si>
    <t xml:space="preserve">D6 §5.3.2</t>
  </si>
  <si>
    <t xml:space="preserve">The phased SPT → DHIS2 Tracker EIR transition over 3–5 years — maintaining SPT until Tracker proves ≥95% equivalence — is correctly planned and appropriately cautious.</t>
  </si>
  <si>
    <t xml:space="preserve">How is ≥95% equivalence measured, and over what sample size / duration?</t>
  </si>
  <si>
    <t xml:space="preserve">Who owns the measurement, and what is the arbitration path if SPT and Tracker disagree?</t>
  </si>
  <si>
    <t xml:space="preserve">Equivalence measurement protocol; arbitrator named.</t>
  </si>
  <si>
    <t xml:space="preserve">“We’ll work it out operationally” → Clarification.</t>
  </si>
  <si>
    <t xml:space="preserve">EPI programme lead + HMIS coordinator</t>
  </si>
  <si>
    <t xml:space="preserve">A06</t>
  </si>
  <si>
    <t xml:space="preserve">D6 §5.4.1</t>
  </si>
  <si>
    <t xml:space="preserve">e-NHIS enhancement (mobile enrolment via USSD/app, offline claims following CLAIM-it, eCRVS-NIN integration) — rather than replacement — is the right decision.</t>
  </si>
  <si>
    <t xml:space="preserve">Has the NHIA board formally endorsed enhancement over replacement?</t>
  </si>
  <si>
    <t xml:space="preserve">Is the CLAIM-it pattern a fit for the current e-NHIS codebase, or does it require forking?</t>
  </si>
  <si>
    <t xml:space="preserve">Board endorsement memo; technical fit assessment.</t>
  </si>
  <si>
    <t xml:space="preserve">Board hasn’t considered → Clarification + escalate.</t>
  </si>
  <si>
    <t xml:space="preserve">NHIA CEO/COO</t>
  </si>
  <si>
    <t xml:space="preserve">B07, G06</t>
  </si>
  <si>
    <t xml:space="preserve">D6 §5.3.3</t>
  </si>
  <si>
    <t xml:space="preserve">A-LIS strengthening (LOINC coding for 50–80 priority tests, FHIR DiagnosticReport interface, scale to reference and regional labs) is feasible and appropriate.</t>
  </si>
  <si>
    <t xml:space="preserve">Is the 50–80 test panel agreed by the National Public Health Lab?</t>
  </si>
  <si>
    <t xml:space="preserve">Which labs beyond NPHL will be in scope by Wave 2, and do they have the equipment/skills?</t>
  </si>
  <si>
    <t xml:space="preserve">Agreed test panel; lab-expansion list with readiness status.</t>
  </si>
  <si>
    <t xml:space="preserve">Panel not agreed → Correction.</t>
  </si>
  <si>
    <t xml:space="preserve">National Public Health Lab + Lab lead</t>
  </si>
  <si>
    <t xml:space="preserve">A08</t>
  </si>
  <si>
    <t xml:space="preserve">D6 §5.5</t>
  </si>
  <si>
    <t xml:space="preserve">Disease-surveillance modernisation (DHIS2 Tracker for case-based IDSR starting with 7 priority notifiable conditions) is correct and builds on existing DHIS2 investment.</t>
  </si>
  <si>
    <t xml:space="preserve">Are the 7 priority notifiable conditions confirmed by the IDSR programme and WHO?</t>
  </si>
  <si>
    <t xml:space="preserve">What reporting cadence is expected, and is it compatible with facility workloads?</t>
  </si>
  <si>
    <t xml:space="preserve">Condition list endorsed; cadence statement.</t>
  </si>
  <si>
    <t xml:space="preserve">Condition list disputed → Correction.</t>
  </si>
  <si>
    <t xml:space="preserve">IDSR programme lead + WHO</t>
  </si>
  <si>
    <t xml:space="preserve">G07, A01</t>
  </si>
  <si>
    <t xml:space="preserve">Core Validation — Integration Architecture (D6 §6)</t>
  </si>
  <si>
    <t xml:space="preserve">I01</t>
  </si>
  <si>
    <t xml:space="preserve">D6 §6.1.2</t>
  </si>
  <si>
    <t xml:space="preserve">The hub-and-spoke integration model (all systems through OpenHIM rather than direct peer connections) is the correct architectural approach.</t>
  </si>
  <si>
    <t xml:space="preserve">Are there any existing point-to-point integrations that would be demoted to OpenHIM, and over what timeline?</t>
  </si>
  <si>
    <t xml:space="preserve">If OpenHIM is unavailable, is any critical flow blocked, and what is the DR strategy?</t>
  </si>
  <si>
    <t xml:space="preserve">Point-to-point decommissioning list; DR plan for OpenHIM.</t>
  </si>
  <si>
    <t xml:space="preserve">“DR to be designed later” → Clarification.</t>
  </si>
  <si>
    <t xml:space="preserve">A02, T11</t>
  </si>
  <si>
    <t xml:space="preserve">D6 §6.2</t>
  </si>
  <si>
    <t xml:space="preserve">The six priority flows are correctly identified and appropriately sequenced (Flow 1 first; 3–5 in Wave 2; Flow 6 in Wave 3).</t>
  </si>
  <si>
    <t xml:space="preserve">Are any flows missing (e.g. pharmacy, referral, mortality)?</t>
  </si>
  <si>
    <t xml:space="preserve">Is the Wave-1 Flow 1 realistic given eCRVS, OpenCR, and e-NHIS co-availability?</t>
  </si>
  <si>
    <t xml:space="preserve">Missing-flow statement; Wave-1 Flow-1 feasibility note.</t>
  </si>
  <si>
    <t xml:space="preserve">“Flow 1 depends on things we don’t control” → Objection.</t>
  </si>
  <si>
    <t xml:space="preserve">A02, A03, G02</t>
  </si>
  <si>
    <t xml:space="preserve">I03</t>
  </si>
  <si>
    <t xml:space="preserve">D6 §6.1.3</t>
  </si>
  <si>
    <t xml:space="preserve">The three-phase integration maturity progression (batch → API point-to-point → HIE-mediated) is realistic and appropriately paced.</t>
  </si>
  <si>
    <t xml:space="preserve">What exit criteria promote a flow from one phase to the next?</t>
  </si>
  <si>
    <t xml:space="preserve">Are there any flows that should skip phases, and why?</t>
  </si>
  <si>
    <t xml:space="preserve">Phase-exit criteria table; skip-phase exceptions list.</t>
  </si>
  <si>
    <t xml:space="preserve">“Phase transitions are judgement calls” → Clarification.</t>
  </si>
  <si>
    <t xml:space="preserve">I04</t>
  </si>
  <si>
    <t xml:space="preserve">D6 §6.3</t>
  </si>
  <si>
    <t xml:space="preserve">The three-tier standards approach (FHIR R4 for patient data, ADX for DHIS2 aggregate, FHIR Facade adapters for legacy) is correct.</t>
  </si>
  <si>
    <t xml:space="preserve">Which FHIR profiles will be used (IPS, SVCM, MII, custom), and who owns them?</t>
  </si>
  <si>
    <t xml:space="preserve">What ADX mapping tables exist, and who maintains them?</t>
  </si>
  <si>
    <t xml:space="preserve">Profile owner list; ADX mapping table location.</t>
  </si>
  <si>
    <t xml:space="preserve">“Profiles to be defined during build” → Clarification.</t>
  </si>
  <si>
    <t xml:space="preserve">DHDD Director + WHO technical lead</t>
  </si>
  <si>
    <t xml:space="preserve">G07</t>
  </si>
  <si>
    <t xml:space="preserve">I05</t>
  </si>
  <si>
    <t xml:space="preserve">D6 §6.2.1</t>
  </si>
  <si>
    <t xml:space="preserve">The statement that SPT-to-DHIS2 is the sole currently operational automated integration accurately reflects the current state.</t>
  </si>
  <si>
    <t xml:space="preserve">Are there informal/undocumented automations anywhere (e.g. scheduled scripts, file drops)?</t>
  </si>
  <si>
    <t xml:space="preserve">Does the statement include or exclude batch-file loads?</t>
  </si>
  <si>
    <t xml:space="preserve">Informal-automation sweep; batch-file inclusion statement.</t>
  </si>
  <si>
    <t xml:space="preserve">“There’s one more but it’s half-working” → Correction.</t>
  </si>
  <si>
    <t xml:space="preserve">(D5 premise)</t>
  </si>
  <si>
    <t xml:space="preserve">Core Validation — Technology Architecture (D6 §7)</t>
  </si>
  <si>
    <t xml:space="preserve">T01</t>
  </si>
  <si>
    <t xml:space="preserve">D6 §7.1</t>
  </si>
  <si>
    <t xml:space="preserve">The dual-mode hosting strategy (interim ProgTel/e-Gov DC, target G-Cloud via RDIP by 2027) is practical and correctly designed.</t>
  </si>
  <si>
    <t xml:space="preserve">Has RDIP given a written commitment to the 2027 G-Cloud delivery date?</t>
  </si>
  <si>
    <t xml:space="preserve">What is the migration plan from interim to G-Cloud, and has it been budgeted?</t>
  </si>
  <si>
    <t xml:space="preserve">RDIP commitment letter; migration plan + budget line.</t>
  </si>
  <si>
    <t xml:space="preserve">“G-Cloud is expected” (no letter) → Objection risk.</t>
  </si>
  <si>
    <t xml:space="preserve">PDGA DG + RDIP PM</t>
  </si>
  <si>
    <t xml:space="preserve">G01, T05, D06</t>
  </si>
  <si>
    <t xml:space="preserve">T02</t>
  </si>
  <si>
    <t xml:space="preserve">D6 §7.2.3</t>
  </si>
  <si>
    <t xml:space="preserve">The offline-first mandatory design principle is correct given ~60% national electricity access.</t>
  </si>
  <si>
    <t xml:space="preserve">Is every Wave-1 platform choice actually offline-capable, or are some cloud-only?</t>
  </si>
  <si>
    <t xml:space="preserve">What endpoint device spec is mandated at facilities (tablet, laptop, solar power, UPS)?</t>
  </si>
  <si>
    <t xml:space="preserve">Offline-capability matrix per platform; endpoint spec.</t>
  </si>
  <si>
    <t xml:space="preserve">“We’ll require cloud when available” → Correction.</t>
  </si>
  <si>
    <t xml:space="preserve">DHDD Director + PDGA</t>
  </si>
  <si>
    <t xml:space="preserve">T03</t>
  </si>
  <si>
    <t xml:space="preserve">D6 §7.2</t>
  </si>
  <si>
    <t xml:space="preserve">The rural connectivity strategy (EHSSP satellite bridge, RDIP broadband target, offline-first baseline) adequately addresses facility-level gaps.</t>
  </si>
  <si>
    <t xml:space="preserve">Who funds the EHSSP bridge (Aug 2025+), and for how long?</t>
  </si>
  <si>
    <t xml:space="preserve">Which 30–50 priority facilities are on the short-list, and do they have a working power supply?</t>
  </si>
  <si>
    <t xml:space="preserve">Bridge-funding source letter; priority-facility list + power audit.</t>
  </si>
  <si>
    <t xml:space="preserve">“The gap will be closed by RDIP” (no letter) → Objection.</t>
  </si>
  <si>
    <t xml:space="preserve">PDGA DG + RDIP PM + MoH DHS</t>
  </si>
  <si>
    <t xml:space="preserve">G04, K03</t>
  </si>
  <si>
    <t xml:space="preserve">T04</t>
  </si>
  <si>
    <t xml:space="preserve">D6 §7.4</t>
  </si>
  <si>
    <t xml:space="preserve">Security architecture requirements (TLS 1.2+, AES-256, OAuth 2.0 + mTLS, MFA for admins, RBAC) are appropriate and sufficient.</t>
  </si>
  <si>
    <t xml:space="preserve">Is there a national cyber-security baseline MoH must align to beyond these?</t>
  </si>
  <si>
    <t xml:space="preserve">Who runs the MFA system — DHDD or PDGA — and what is the break-glass procedure?</t>
  </si>
  <si>
    <t xml:space="preserve">National cyber baseline reference; MFA operator + break-glass SOP.</t>
  </si>
  <si>
    <t xml:space="preserve">“MFA operations to be decided” → Clarification.</t>
  </si>
  <si>
    <t xml:space="preserve">PDGA DG + DHDD Director</t>
  </si>
  <si>
    <t xml:space="preserve">(cross-ministry)</t>
  </si>
  <si>
    <t xml:space="preserve">T05</t>
  </si>
  <si>
    <t xml:space="preserve">D6 §7.1.5</t>
  </si>
  <si>
    <t xml:space="preserve">Containerised interim hosting on PDGA/ProgTel is practical for the pre-G-Cloud period.</t>
  </si>
  <si>
    <t xml:space="preserve">Does ProgTel/e-Gov DC have Docker/Kubernetes operator skills today?</t>
  </si>
  <si>
    <t xml:space="preserve">Is capacity sized for Wave-1 platform set (OpenHIM + OpenCR + DHIS2 + eLMIS)?</t>
  </si>
  <si>
    <t xml:space="preserve">Skills audit; capacity-sizing document.</t>
  </si>
  <si>
    <t xml:space="preserve">“Capacity to be sized” → Clarification.</t>
  </si>
  <si>
    <t xml:space="preserve">T06</t>
  </si>
  <si>
    <t xml:space="preserve">D6 §7.5</t>
  </si>
  <si>
    <t xml:space="preserve">The technology stack (open-source, Docker/Kubernetes, Keycloak) is appropriate and consistent with open-standards and sustainability principles.</t>
  </si>
  <si>
    <t xml:space="preserve">Who provides vendor-grade support for each open-source component after Wave 1?</t>
  </si>
  <si>
    <t xml:space="preserve">Are any proprietary components still needed, and if so under what licence model?</t>
  </si>
  <si>
    <t xml:space="preserve">Support-contract plan per component; proprietary-component list.</t>
  </si>
  <si>
    <t xml:space="preserve">“Support to be sourced” → Clarification.</t>
  </si>
  <si>
    <t xml:space="preserve">DHDD Director + PDGA DG</t>
  </si>
  <si>
    <t xml:space="preserve">K10</t>
  </si>
  <si>
    <t xml:space="preserve">Core Validation — D7 Roadmap Timeline (D7 §4)</t>
  </si>
  <si>
    <t xml:space="preserve">R101</t>
  </si>
  <si>
    <t xml:space="preserve">D7 §4.1</t>
  </si>
  <si>
    <t xml:space="preserve">The three-wave phasing (Wave 1 2025–2026, Wave 2 2027–2029, Wave 3 2030–2033) is logical and correctly sequences governance before technology, infrastructure before applications.</t>
  </si>
  <si>
    <t xml:space="preserve">What is the single biggest dependency that could push Wave 1 past 2026?</t>
  </si>
  <si>
    <t xml:space="preserve">Is there a risk-adjusted timeline, and has it been sponsored?</t>
  </si>
  <si>
    <t xml:space="preserve">Top-risk named; risk-adjusted plan.</t>
  </si>
  <si>
    <t xml:space="preserve">“We’ll adjust as we go” → Clarification.</t>
  </si>
  <si>
    <t xml:space="preserve">RDIP PM + DHDD Director</t>
  </si>
  <si>
    <t xml:space="preserve">K03, K04, K05</t>
  </si>
  <si>
    <t xml:space="preserve">R102</t>
  </si>
  <si>
    <t xml:space="preserve">D7 §4.2</t>
  </si>
  <si>
    <t xml:space="preserve">Wave 1 priorities are correct (NDHSC/DHDD, OpenHIM + OpenCR, MPI seed, eCRVS → e-NHIS, DHIS2 Tracker pilot, eLMIS rollout, EHSSP transition).</t>
  </si>
  <si>
    <t xml:space="preserve">Has every Wave-1 initiative been assigned to a named implementer?</t>
  </si>
  <si>
    <t xml:space="preserve">Is Wave-1 Q1 2026 OpenHIM + OpenCR go-live realistic given hosting/skills gaps?</t>
  </si>
  <si>
    <t xml:space="preserve">Initiative-to-implementer map; Q1 2026 go-live plan.</t>
  </si>
  <si>
    <t xml:space="preserve">“Implementers TBA” → Clarification.</t>
  </si>
  <si>
    <t xml:space="preserve">DHDD Director + RDIP PM</t>
  </si>
  <si>
    <t xml:space="preserve">B01, A02, A03</t>
  </si>
  <si>
    <t xml:space="preserve">R103</t>
  </si>
  <si>
    <t xml:space="preserve">D7 §4.3</t>
  </si>
  <si>
    <t xml:space="preserve">Wave 2 priorities are correct (EHR at 15–20, EIR national transition, e-NHIS scaling, G-Cloud migration, full DHDD, 4–5 flows).</t>
  </si>
  <si>
    <t xml:space="preserve">Is the EHR pilot funded, or is it pending Wave-2 proposal?</t>
  </si>
  <si>
    <t xml:space="preserve">Does G-Cloud migration assume RDIP delivers 2027 on time?</t>
  </si>
  <si>
    <t xml:space="preserve">EHR funding status; G-Cloud-dependency flag.</t>
  </si>
  <si>
    <t xml:space="preserve">“Pending funding” → Clarification; link to R206.</t>
  </si>
  <si>
    <t xml:space="preserve">T01, G01, R206</t>
  </si>
  <si>
    <t xml:space="preserve">D7 §4.4</t>
  </si>
  <si>
    <t xml:space="preserve">Wave 3 priorities are correct (EHR to 30–40, SPT retirement, all 6 flows at maturity, data warehouse, community surveillance, ≥50% government cost absorption).</t>
  </si>
  <si>
    <t xml:space="preserve">Is the ≥50% government absorption a commitment or an aspiration?</t>
  </si>
  <si>
    <t xml:space="preserve">What triggers Wave-3 start — a calendar date or a Wave-2 go/no-go?</t>
  </si>
  <si>
    <t xml:space="preserve">Commitment classification; Wave-3 start trigger.</t>
  </si>
  <si>
    <t xml:space="preserve">“Aspiration” → Objection-risk.</t>
  </si>
  <si>
    <t xml:space="preserve">MoH PS + MoF Budget</t>
  </si>
  <si>
    <t xml:space="preserve">R204, G09</t>
  </si>
  <si>
    <t xml:space="preserve">D7 §4.1.5</t>
  </si>
  <si>
    <t xml:space="preserve">Wave-1 → Wave-2 go/no-go criteria (DHDD ≥6 staff; OpenHIM ≥1 flow; MPI ≥500k records; DHIS2 ≥90% completeness) are appropriate and measurable.</t>
  </si>
  <si>
    <t xml:space="preserve">Who measures each criterion, and when in 2026?</t>
  </si>
  <si>
    <t xml:space="preserve">What happens if one criterion fails but others pass?</t>
  </si>
  <si>
    <t xml:space="preserve">Measurement owner + date; partial-pass decision rule.</t>
  </si>
  <si>
    <t xml:space="preserve">“Partial pass is subjective” → Clarification.</t>
  </si>
  <si>
    <t xml:space="preserve">R106</t>
  </si>
  <si>
    <t xml:space="preserve">D7 §4.6</t>
  </si>
  <si>
    <t xml:space="preserve">Critical-path dependencies are correctly identified (governance → data governance → hosting → MPI → HIE → applications).</t>
  </si>
  <si>
    <t xml:space="preserve">Is any off-path dependency missing (e.g. endpoint devices, network, power)?</t>
  </si>
  <si>
    <t xml:space="preserve">If one step slips, which downstream steps are on hold vs. can proceed in parallel?</t>
  </si>
  <si>
    <t xml:space="preserve">Off-path dependency list; slip-propagation analysis.</t>
  </si>
  <si>
    <t xml:space="preserve">“We’ll rework if needed” → Clarification.</t>
  </si>
  <si>
    <t xml:space="preserve">RDIP PM</t>
  </si>
  <si>
    <t xml:space="preserve">T02, T03</t>
  </si>
  <si>
    <t xml:space="preserve">R107</t>
  </si>
  <si>
    <t xml:space="preserve">The EHSSP W1-11 transition plan (Aug 2025 funding cliff; risk to DHIS2 reporting, SPT, e-NHIS) is an immediate priority and is adequately addressed.</t>
  </si>
  <si>
    <t xml:space="preserve">Has the bridge funding actually been committed by a named party (RDIP, government, donor)?</t>
  </si>
  <si>
    <t xml:space="preserve">What is the fallback if bridge funding isn’t secured by the cliff date?</t>
  </si>
  <si>
    <t xml:space="preserve">Written bridge-funding commitment; fallback plan.</t>
  </si>
  <si>
    <t xml:space="preserve">“We’re working on it” (with cliff &lt; 90 days) → Objection.</t>
  </si>
  <si>
    <t xml:space="preserve">RDIP PM + MoH PS</t>
  </si>
  <si>
    <t xml:space="preserve">Core Validation — D7 Investment &amp; Sustainability (D7 §5)</t>
  </si>
  <si>
    <t xml:space="preserve">R201</t>
  </si>
  <si>
    <t xml:space="preserve">D7 §5.2</t>
  </si>
  <si>
    <t xml:space="preserve">The investment envelope USD 6.2–10.7M (midpoint 8.5M) over 8 years is realistic and proportionate.</t>
  </si>
  <si>
    <t xml:space="preserve">Is the range based on bottom-up wave-level costing or top-down benchmark?</t>
  </si>
  <si>
    <t xml:space="preserve">Does the midpoint assume all waves at target scope, or some discretion?</t>
  </si>
  <si>
    <t xml:space="preserve">Costing methodology statement; midpoint-assumption note.</t>
  </si>
  <si>
    <t xml:space="preserve">“Benchmark, refined later” → Clarification.</t>
  </si>
  <si>
    <t xml:space="preserve">R206, X08</t>
  </si>
  <si>
    <t xml:space="preserve">R202</t>
  </si>
  <si>
    <t xml:space="preserve">D7 §5.4</t>
  </si>
  <si>
    <t xml:space="preserve">The funding-source mix (RDIP 22–23%, Government 18–19%, Global Fund 14–16%, GAVI 6–8%, others) is realistic and actionable.</t>
  </si>
  <si>
    <t xml:space="preserve">Is each donor commitment in writing, or is it mapped based on expected cycles?</t>
  </si>
  <si>
    <t xml:space="preserve">What is the tail risk if one major source (RDIP or Global Fund) reduces allocation?</t>
  </si>
  <si>
    <t xml:space="preserve">Donor commitment letters; tail-risk analysis.</t>
  </si>
  <si>
    <t xml:space="preserve">“Mapped, not committed” → Clarification.</t>
  </si>
  <si>
    <t xml:space="preserve">G09</t>
  </si>
  <si>
    <t xml:space="preserve">R203</t>
  </si>
  <si>
    <t xml:space="preserve">D7 §5.5</t>
  </si>
  <si>
    <t xml:space="preserve">The Wave-2 funding-gap mitigation (WB/AfDB health-digitisation proposal for USD 0.5–1M) is credible.</t>
  </si>
  <si>
    <t xml:space="preserve">Is a concept note already in the pipeline with a named task manager?</t>
  </si>
  <si>
    <t xml:space="preserve">What is the decision timeline, and does it leave time before Wave 2 starts?</t>
  </si>
  <si>
    <t xml:space="preserve">Concept-note status; WB/AfDB decision-calendar.</t>
  </si>
  <si>
    <t xml:space="preserve">“We’ll develop a concept” → Clarification.</t>
  </si>
  <si>
    <t xml:space="preserve">MoH PS + RDIP PM</t>
  </si>
  <si>
    <t xml:space="preserve">R204</t>
  </si>
  <si>
    <t xml:space="preserve">D7 §5.6</t>
  </si>
  <si>
    <t xml:space="preserve">The 6%→75% government absorption trajectory (2025–2033) is realistic.</t>
  </si>
  <si>
    <t xml:space="preserve">What is the concrete step to create the government digital-health budget line by 2028?</t>
  </si>
  <si>
    <t xml:space="preserve">Which MoF/Budget officer owns the line-creation task?</t>
  </si>
  <si>
    <t xml:space="preserve">Budget-line creation plan; named owner at MoF.</t>
  </si>
  <si>
    <t xml:space="preserve">“MoF will handle when the time comes” → Objection-risk.</t>
  </si>
  <si>
    <t xml:space="preserve">MoH PS + MoF Budget Dept</t>
  </si>
  <si>
    <t xml:space="preserve">R205, G09</t>
  </si>
  <si>
    <t xml:space="preserve">R205</t>
  </si>
  <si>
    <t xml:space="preserve">D7 §5.7</t>
  </si>
  <si>
    <t xml:space="preserve">Government establishes a digital-health budget line by 2028 — acceptable as a commitment from the MoH delegation.</t>
  </si>
  <si>
    <t xml:space="preserve">Is this in a signed government commitment letter for RDIP?</t>
  </si>
  <si>
    <t xml:space="preserve">What is the escalation path if 2028 slips?</t>
  </si>
  <si>
    <t xml:space="preserve">Signed commitment; escalation path.</t>
  </si>
  <si>
    <t xml:space="preserve">“Not yet signed” → Clarification; escalate.</t>
  </si>
  <si>
    <t xml:space="preserve">Core Validation — D7 Risk Register (D7 §6)</t>
  </si>
  <si>
    <t xml:space="preserve">R301</t>
  </si>
  <si>
    <t xml:space="preserve">D7 §6</t>
  </si>
  <si>
    <t xml:space="preserve">The two Critical risks (EHSSP funding cliff; DHDD recruitment failure) are correctly flagged as Critical.</t>
  </si>
  <si>
    <t xml:space="preserve">Are there any currently High risks that, under present evidence, should be upgraded to Critical?</t>
  </si>
  <si>
    <t xml:space="preserve">Has anything happened since the draft that downgrades a Critical risk?</t>
  </si>
  <si>
    <t xml:space="preserve">Risk-severity re-validation memo.</t>
  </si>
  <si>
    <t xml:space="preserve">“The list is a snapshot” → Clarification.</t>
  </si>
  <si>
    <t xml:space="preserve">K01, K03, K04</t>
  </si>
  <si>
    <t xml:space="preserve">R302</t>
  </si>
  <si>
    <t xml:space="preserve">The 10 High risks are complete and none are missing (RDIP delay, eCRVS API, NIN production, DPA, EHR adoption, budget-line, ...).</t>
  </si>
  <si>
    <t xml:space="preserve">Is clinician burnout in Wave-2 EHR rollout on the High list?</t>
  </si>
  <si>
    <t xml:space="preserve">Is vendor lock-in (OpenMRS, OpenHIM) on the list?</t>
  </si>
  <si>
    <t xml:space="preserve">Completeness review; missing-risks addition.</t>
  </si>
  <si>
    <t xml:space="preserve">Omission acknowledged → Correction.</t>
  </si>
  <si>
    <t xml:space="preserve">K02, K09</t>
  </si>
  <si>
    <t xml:space="preserve">R303</t>
  </si>
  <si>
    <t xml:space="preserve">Each risk has a concrete, dated mitigation owner (not just a role).</t>
  </si>
  <si>
    <t xml:space="preserve">Is there any risk whose mitigation owner is ‘TBD’ or just a role name?</t>
  </si>
  <si>
    <t xml:space="preserve">Is there any risk whose mitigation is financial but has no budget line?</t>
  </si>
  <si>
    <t xml:space="preserve">Fully-populated risk register; unfunded-mitigation list.</t>
  </si>
  <si>
    <t xml:space="preserve">Any ‘TBD’ owner → Correction.</t>
  </si>
  <si>
    <t xml:space="preserve">K01, K02</t>
  </si>
  <si>
    <t xml:space="preserve">Core Validation — D7 Governance, OKR, OCM, Sustainability (D7 §7)</t>
  </si>
  <si>
    <t xml:space="preserve">R401</t>
  </si>
  <si>
    <t xml:space="preserve">D7 §7</t>
  </si>
  <si>
    <t xml:space="preserve">The portfolio-governance structure (NDHSC + DHDD + 3 TWGs + PMO) has clear decision rights and escalation.</t>
  </si>
  <si>
    <t xml:space="preserve">Which decisions are at NDHSC, which at TWG, which at DHDD, and where is the escalation path?</t>
  </si>
  <si>
    <t xml:space="preserve">Does RDIP PMU sit inside or outside MoH governance?</t>
  </si>
  <si>
    <t xml:space="preserve">Decision-rights table; RDIP positioning note.</t>
  </si>
  <si>
    <t xml:space="preserve">“Decision rights to be clarified” → Clarification.</t>
  </si>
  <si>
    <t xml:space="preserve">MoH PS + DHDD Director + RDIP PM</t>
  </si>
  <si>
    <t xml:space="preserve">R402</t>
  </si>
  <si>
    <t xml:space="preserve">The KPI/OKR cascade (portfolio → initiative → operational) is complete.</t>
  </si>
  <si>
    <t xml:space="preserve">Is there a KPI for every Wave-1 initiative?</t>
  </si>
  <si>
    <t xml:space="preserve">Is the KPI measurable from an existing data source?</t>
  </si>
  <si>
    <t xml:space="preserve">Initiative-to-KPI map; data-source readiness.</t>
  </si>
  <si>
    <t xml:space="preserve">“KPI measurement TBD” → Clarification.</t>
  </si>
  <si>
    <t xml:space="preserve">B04, R105</t>
  </si>
  <si>
    <t xml:space="preserve">R403</t>
  </si>
  <si>
    <t xml:space="preserve">The organisational-change-management plan is adequate for the clinician-facing rollouts (EHR, EIR, IDSR).</t>
  </si>
  <si>
    <t xml:space="preserve">Who is the named OCM lead, and what is their experience?</t>
  </si>
  <si>
    <t xml:space="preserve">Is there a change-champion network at facility level?</t>
  </si>
  <si>
    <t xml:space="preserve">OCM lead; champion network plan.</t>
  </si>
  <si>
    <t xml:space="preserve">“OCM is an activity, not a role” → Correction.</t>
  </si>
  <si>
    <t xml:space="preserve">K09, B06</t>
  </si>
  <si>
    <t xml:space="preserve">R404</t>
  </si>
  <si>
    <t xml:space="preserve">The sustainability financial model is credible (steady-state USD 385–515k/yr, 75% government by 2033).</t>
  </si>
  <si>
    <t xml:space="preserve">Is the steady-state figure inclusive of support contracts and hosting?</t>
  </si>
  <si>
    <t xml:space="preserve">What is the assumed inflation/FX scenario?</t>
  </si>
  <si>
    <t xml:space="preserve">Cost breakdown; inflation/FX assumptions.</t>
  </si>
  <si>
    <t xml:space="preserve">“Figures are nominal 2025 USD” → Clarification if unstated.</t>
  </si>
  <si>
    <t xml:space="preserve">R204, R205</t>
  </si>
  <si>
    <t xml:space="preserve">R405</t>
  </si>
  <si>
    <t xml:space="preserve">A disciplined review cadence (annual plan refresh, quarterly portfolio review, monthly TWG) is specified.</t>
  </si>
  <si>
    <t xml:space="preserve">Are calendar commitments already in PS and DG diaries?</t>
  </si>
  <si>
    <t xml:space="preserve">Who chairs each cadence, and what is the quorum?</t>
  </si>
  <si>
    <t xml:space="preserve">Calendar commitments; chair + quorum rules.</t>
  </si>
  <si>
    <t xml:space="preserve">“Cadence to be set” → Clarification.</t>
  </si>
  <si>
    <t xml:space="preserve">MoH PS + DHDD Director</t>
  </si>
  <si>
    <t xml:space="preserve">G — External-Party Commitments (RDIP / eCRVS / NHIA / WHO / HISP / MoF / DPO)</t>
  </si>
  <si>
    <t xml:space="preserve">G01</t>
  </si>
  <si>
    <t xml:space="preserve">RDIP G-Cloud delivery date formally confirmed (target 2027).</t>
  </si>
  <si>
    <t xml:space="preserve">RDIP PM written letter referencing dates.</t>
  </si>
  <si>
    <t xml:space="preserve">Commitment letter with board sign-off.</t>
  </si>
  <si>
    <t xml:space="preserve">Verbal only → Objection-risk.</t>
  </si>
  <si>
    <t xml:space="preserve">G02</t>
  </si>
  <si>
    <t xml:space="preserve">eCRVS API readiness for MPI integration confirmed by eCRVS owner.</t>
  </si>
  <si>
    <t xml:space="preserve">API spec + readiness date from eCRVS technical owner.</t>
  </si>
  <si>
    <t xml:space="preserve">API readiness letter.</t>
  </si>
  <si>
    <t xml:space="preserve">“API is planned” → Clarification.</t>
  </si>
  <si>
    <t xml:space="preserve">G03</t>
  </si>
  <si>
    <t xml:space="preserve">NIN production resumption timeline confirmed.</t>
  </si>
  <si>
    <t xml:space="preserve">Government statement on NIN programme.</t>
  </si>
  <si>
    <t xml:space="preserve">Official communiqué.</t>
  </si>
  <si>
    <t xml:space="preserve">Verbal only → Clarification.</t>
  </si>
  <si>
    <t xml:space="preserve">Ministry of Interior liaison</t>
  </si>
  <si>
    <t xml:space="preserve">G04</t>
  </si>
  <si>
    <t xml:space="preserve">EHSSP bridge funding source confirmed (who pays post-Aug 2025).</t>
  </si>
  <si>
    <t xml:space="preserve">Named payer (RDIP, government, donor) in writing.</t>
  </si>
  <si>
    <t xml:space="preserve">Funding letter.</t>
  </si>
  <si>
    <t xml:space="preserve">No named source → Objection; escalate.</t>
  </si>
  <si>
    <t xml:space="preserve">G05</t>
  </si>
  <si>
    <t xml:space="preserve">PDGA hosting commitment for interim (ProgTel/e-Gov DC) signed.</t>
  </si>
  <si>
    <t xml:space="preserve">PDGA hosting agreement.</t>
  </si>
  <si>
    <t xml:space="preserve">Signed hosting agreement with SLA.</t>
  </si>
  <si>
    <t xml:space="preserve">“PDGA will host” verbal → Clarification.</t>
  </si>
  <si>
    <t xml:space="preserve">G06</t>
  </si>
  <si>
    <t xml:space="preserve">NHIA board endorsement of e-NHIS enhancement plan.</t>
  </si>
  <si>
    <t xml:space="preserve">NHIA board resolution.</t>
  </si>
  <si>
    <t xml:space="preserve">Board minute or resolution letter.</t>
  </si>
  <si>
    <t xml:space="preserve">“CEO aware” → Clarification.</t>
  </si>
  <si>
    <t xml:space="preserve">NHIA Board / CEO</t>
  </si>
  <si>
    <t xml:space="preserve">WHO Country Office technical endorsement of surveillance and standards plan.</t>
  </si>
  <si>
    <t xml:space="preserve">WHO CR letter.</t>
  </si>
  <si>
    <t xml:space="preserve">WHO-CO endorsement letter.</t>
  </si>
  <si>
    <t xml:space="preserve">“WHO is supportive” → Clarification.</t>
  </si>
  <si>
    <t xml:space="preserve">WHO CR</t>
  </si>
  <si>
    <t xml:space="preserve">G08</t>
  </si>
  <si>
    <t xml:space="preserve">HISP regional node technical endorsement (for DHIS2 Tracker work).</t>
  </si>
  <si>
    <t xml:space="preserve">HISP regional node letter.</t>
  </si>
  <si>
    <t xml:space="preserve">HISP regional node endorsement.</t>
  </si>
  <si>
    <t xml:space="preserve">“HISP will help” verbal → Clarification.</t>
  </si>
  <si>
    <t xml:space="preserve">HISP regional node regional lead</t>
  </si>
  <si>
    <t xml:space="preserve">MoF Budget Dept endorsement of the investment envelope and budget-line path.</t>
  </si>
  <si>
    <t xml:space="preserve">MoF letter or minute.</t>
  </si>
  <si>
    <t xml:space="preserve">MoF commitment letter.</t>
  </si>
  <si>
    <t xml:space="preserve">“MoF will consider” → Objection-risk.</t>
  </si>
  <si>
    <t xml:space="preserve">MoF Budget Dept</t>
  </si>
  <si>
    <t xml:space="preserve">G10</t>
  </si>
  <si>
    <t xml:space="preserve">Data Protection Office concurrence on residency and classification in absence of DPA.</t>
  </si>
  <si>
    <t xml:space="preserve">DPO concurrence letter.</t>
  </si>
  <si>
    <t xml:space="preserve">DPO memo.</t>
  </si>
  <si>
    <t xml:space="preserve">“DPO consulted” → Clarification.</t>
  </si>
  <si>
    <t xml:space="preserve">Data Protection Office</t>
  </si>
  <si>
    <t xml:space="preserve">L — Legal &amp; Regulatory Prerequisites</t>
  </si>
  <si>
    <t xml:space="preserve">L01</t>
  </si>
  <si>
    <t xml:space="preserve">Data Protection Act legislative status and expected enactment date.</t>
  </si>
  <si>
    <t xml:space="preserve">Check legislative tracker; named Bill number and stage.</t>
  </si>
  <si>
    <t xml:space="preserve">Parliament tracker entry.</t>
  </si>
  <si>
    <t xml:space="preserve">“Coming soon” (no Bill) → Clarification.</t>
  </si>
  <si>
    <t xml:space="preserve">L02</t>
  </si>
  <si>
    <t xml:space="preserve">Ministerial Order for NDHSC drafted, cabinet-cleared, signable date confirmed.</t>
  </si>
  <si>
    <t xml:space="preserve">Drafting status + cabinet schedule.</t>
  </si>
  <si>
    <t xml:space="preserve">Draft Order + cabinet agenda.</t>
  </si>
  <si>
    <t xml:space="preserve">Not drafted → Correction + escalate.</t>
  </si>
  <si>
    <t xml:space="preserve">MoH PS + Cabinet Secretariat</t>
  </si>
  <si>
    <t xml:space="preserve">L03</t>
  </si>
  <si>
    <t xml:space="preserve">Civil Service regulations re DHDD positions (grading, salaries) compatible with 14-position structure.</t>
  </si>
  <si>
    <t xml:space="preserve">PSC grading letter.</t>
  </si>
  <si>
    <t xml:space="preserve">PSC letter with grades.</t>
  </si>
  <si>
    <t xml:space="preserve">“Grades TBD” → Clarification.</t>
  </si>
  <si>
    <t xml:space="preserve">PSC + MoH HR</t>
  </si>
  <si>
    <t xml:space="preserve">L04</t>
  </si>
  <si>
    <t xml:space="preserve">Procurement regulations re open-source software deployment compatible with the stack.</t>
  </si>
  <si>
    <t xml:space="preserve">Procurement policy review.</t>
  </si>
  <si>
    <t xml:space="preserve">Procurement-policy memo.</t>
  </si>
  <si>
    <t xml:space="preserve">“Unusual” flags → Clarification.</t>
  </si>
  <si>
    <t xml:space="preserve">MoH Procurement + PDGA</t>
  </si>
  <si>
    <t xml:space="preserve">L05</t>
  </si>
  <si>
    <t xml:space="preserve">Cross-border data transfer (WHO / RHO ADX reporting) legality before DPA is in force.</t>
  </si>
  <si>
    <t xml:space="preserve">Legal opinion.</t>
  </si>
  <si>
    <t xml:space="preserve">Legal opinion memo.</t>
  </si>
  <si>
    <t xml:space="preserve">No legal opinion → Objection-risk.</t>
  </si>
  <si>
    <t xml:space="preserve">Data Protection Office + WHO</t>
  </si>
  <si>
    <t xml:space="preserve">L06</t>
  </si>
  <si>
    <t xml:space="preserve">Clinical data governance legal basis in absence of DPA (interim instrument).</t>
  </si>
  <si>
    <t xml:space="preserve">Ministerial Order or SI.</t>
  </si>
  <si>
    <t xml:space="preserve">Interim instrument draft.</t>
  </si>
  <si>
    <t xml:space="preserve">No interim instrument → Correction.</t>
  </si>
  <si>
    <t xml:space="preserve">MoH PS + DPO</t>
  </si>
  <si>
    <t xml:space="preserve">X — Cross-Reference Integrity (PM runs these between sessions)</t>
  </si>
  <si>
    <t xml:space="preserve">Every D6 §3.3 priority process has a corresponding D7 initiative in at least one wave.</t>
  </si>
  <si>
    <t xml:space="preserve">Cross-map 8 processes to W1–W3 initiatives.</t>
  </si>
  <si>
    <t xml:space="preserve">Process↔initiative map.</t>
  </si>
  <si>
    <t xml:space="preserve">Any orphan process → Correction.</t>
  </si>
  <si>
    <t xml:space="preserve">ITU PM</t>
  </si>
  <si>
    <t xml:space="preserve">X02</t>
  </si>
  <si>
    <t xml:space="preserve">Every D6 §5 system disposition maps to a D7 initiative with delivery owner.</t>
  </si>
  <si>
    <t xml:space="preserve">Cross-map 8 systems × disposition to initiative cards.</t>
  </si>
  <si>
    <t xml:space="preserve">System↔initiative map.</t>
  </si>
  <si>
    <t xml:space="preserve">Disposition stated but no initiative → Correction.</t>
  </si>
  <si>
    <t xml:space="preserve">X03</t>
  </si>
  <si>
    <t xml:space="preserve">Every D6 §6 integration flow has a D7 Wave placement and an owning initiative.</t>
  </si>
  <si>
    <t xml:space="preserve">Cross-map 6 flows to waves.</t>
  </si>
  <si>
    <t xml:space="preserve">Flow↔wave map.</t>
  </si>
  <si>
    <t xml:space="preserve">Flow without wave → Correction.</t>
  </si>
  <si>
    <t xml:space="preserve">X04</t>
  </si>
  <si>
    <t xml:space="preserve">D6 §7 technology choices align with D7 Wave-1 milestones (OpenHIM, OpenCR deployed on interim hosting).</t>
  </si>
  <si>
    <t xml:space="preserve">Cross-read §7 vs Wave-1 roadmap.</t>
  </si>
  <si>
    <t xml:space="preserve">Alignment note.</t>
  </si>
  <si>
    <t xml:space="preserve">Misalignment → Correction.</t>
  </si>
  <si>
    <t xml:space="preserve">X05</t>
  </si>
  <si>
    <t xml:space="preserve">D6 capability targets (§3.2 Level 3–4 by 2033) align with D7 investment domain mix (Applications 43%, etc.).</t>
  </si>
  <si>
    <t xml:space="preserve">Check: high-maturity capability has proportional investment.</t>
  </si>
  <si>
    <t xml:space="preserve">Capability/investment cross-check.</t>
  </si>
  <si>
    <t xml:space="preserve">Mismatch → Clarification.</t>
  </si>
  <si>
    <t xml:space="preserve">X06</t>
  </si>
  <si>
    <t xml:space="preserve">D7 go/no-go criteria reference D6 definitions (MPI 500k ↔ §4.2.1; DHIS2 90% ↔ §4.4).</t>
  </si>
  <si>
    <t xml:space="preserve">Trace each criterion back to D6.</t>
  </si>
  <si>
    <t xml:space="preserve">Trace table.</t>
  </si>
  <si>
    <t xml:space="preserve">Un-traceable criterion → Correction.</t>
  </si>
  <si>
    <t xml:space="preserve">X07</t>
  </si>
  <si>
    <t xml:space="preserve">Risk register (D7 §6) references specific D6 architectural dependencies.</t>
  </si>
  <si>
    <t xml:space="preserve">Check each risk has D6 §-reference.</t>
  </si>
  <si>
    <t xml:space="preserve">Cross-ref list.</t>
  </si>
  <si>
    <t xml:space="preserve">Risk without D6 anchor → Correction.</t>
  </si>
  <si>
    <t xml:space="preserve">X08</t>
  </si>
  <si>
    <t xml:space="preserve">Investment figures reconcile: D7 §5 total = sum of wave totals.</t>
  </si>
  <si>
    <t xml:space="preserve">Spreadsheet sum check.</t>
  </si>
  <si>
    <t xml:space="preserve">Arithmetic check sheet.</t>
  </si>
  <si>
    <t xml:space="preserve">Non-reconciling → Correction.</t>
  </si>
  <si>
    <t xml:space="preserve">X09</t>
  </si>
  <si>
    <t xml:space="preserve">Wave 1 USD 1.8–3.0M aligns with sum of Wave-1 initiative-card costs.</t>
  </si>
  <si>
    <t xml:space="preserve">Sum initiative-card Wave-1 lines.</t>
  </si>
  <si>
    <t xml:space="preserve">Wave-1 cost check.</t>
  </si>
  <si>
    <t xml:space="preserve">Out of band → Correction.</t>
  </si>
  <si>
    <t xml:space="preserve">X10</t>
  </si>
  <si>
    <t xml:space="preserve">Terminology consistency: ‘HIE’ = OpenHIM throughout; ‘MPI’ = OpenCR throughout; ‘EHR’ = OpenMRS throughout.</t>
  </si>
  <si>
    <t xml:space="preserve">grep across D6 and D7.</t>
  </si>
  <si>
    <t xml:space="preserve">Consistency report.</t>
  </si>
  <si>
    <t xml:space="preserve">Any alias confusion → Correction.</t>
  </si>
  <si>
    <t xml:space="preserve">K — Risk-Register Validation (Day 3 morning)</t>
  </si>
  <si>
    <t xml:space="preserve">K01</t>
  </si>
  <si>
    <t xml:space="preserve">Each of the 2 Critical risks has a NAMED individual owner (not a role).</t>
  </si>
  <si>
    <t xml:space="preserve">Open risk register; check owner-column content.</t>
  </si>
  <si>
    <t xml:space="preserve">Register with named owners.</t>
  </si>
  <si>
    <t xml:space="preserve">Role-only owner → Correction.</t>
  </si>
  <si>
    <t xml:space="preserve">K02</t>
  </si>
  <si>
    <t xml:space="preserve">Each of the 10 High risks has a named mitigation owner with a dated mitigation action.</t>
  </si>
  <si>
    <t xml:space="preserve">Register columns Owner + Mitigation-date populated.</t>
  </si>
  <si>
    <t xml:space="preserve">Completed register.</t>
  </si>
  <si>
    <t xml:space="preserve">Any blank → Correction.</t>
  </si>
  <si>
    <t xml:space="preserve">K03</t>
  </si>
  <si>
    <t xml:space="preserve">EHSSP funding-cliff mitigation is concrete (named funder, amount, date) — not just ‘W1-11’.</t>
  </si>
  <si>
    <t xml:space="preserve">Inspect W1-11 plan.</t>
  </si>
  <si>
    <t xml:space="preserve">Concrete bridge plan.</t>
  </si>
  <si>
    <t xml:space="preserve">Generic W1-11 reference → Correction.</t>
  </si>
  <si>
    <t xml:space="preserve">K04</t>
  </si>
  <si>
    <t xml:space="preserve">DHDD recruitment-failure mitigation is credible (named salary bands, secondments, or RDIP supplementation).</t>
  </si>
  <si>
    <t xml:space="preserve">Check mitigation statement.</t>
  </si>
  <si>
    <t xml:space="preserve">Recruitment mitigation plan.</t>
  </si>
  <si>
    <t xml:space="preserve">“Competitive salaries” with no numbers → Clarification.</t>
  </si>
  <si>
    <t xml:space="preserve">DHDD Director + PSC</t>
  </si>
  <si>
    <t xml:space="preserve">K05</t>
  </si>
  <si>
    <t xml:space="preserve">RDIP G-Cloud delay risk has a concrete contingency (extended interim hosting, budget top-up).</t>
  </si>
  <si>
    <t xml:space="preserve">Inspect contingency.</t>
  </si>
  <si>
    <t xml:space="preserve">Contingency plan.</t>
  </si>
  <si>
    <t xml:space="preserve">“Extend interim” without budget → Clarification.</t>
  </si>
  <si>
    <t xml:space="preserve">K06</t>
  </si>
  <si>
    <t xml:space="preserve">eCRVS API unavailability has a Plan B (e.g. flat-file nightly, manual verification).</t>
  </si>
  <si>
    <t xml:space="preserve">Check Plan B.</t>
  </si>
  <si>
    <t xml:space="preserve">Plan-B doc.</t>
  </si>
  <si>
    <t xml:space="preserve">Plan B absent → Correction.</t>
  </si>
  <si>
    <t xml:space="preserve">DHDD Director + eCRVS lead</t>
  </si>
  <si>
    <t xml:space="preserve">K07</t>
  </si>
  <si>
    <t xml:space="preserve">NIN production suspension has a probabilistic-matching fallback with acceptable thresholds.</t>
  </si>
  <si>
    <t xml:space="preserve">Check fallback.</t>
  </si>
  <si>
    <t xml:space="preserve">Matching-threshold SOP.</t>
  </si>
  <si>
    <t xml:space="preserve">No fallback thresholds → Clarification.</t>
  </si>
  <si>
    <t xml:space="preserve">K08</t>
  </si>
  <si>
    <t xml:space="preserve">DPA absence has an interim legal instrument (SI, Ministerial Order) covering health-data exchange.</t>
  </si>
  <si>
    <t xml:space="preserve">Check instrument draft.</t>
  </si>
  <si>
    <t xml:space="preserve">Interim instrument.</t>
  </si>
  <si>
    <t xml:space="preserve">Nothing drafted → Objection-risk.</t>
  </si>
  <si>
    <t xml:space="preserve">DPO + MoH PS</t>
  </si>
  <si>
    <t xml:space="preserve">EHR clinician-adoption risk has a change-management plan with named champions per pilot facility.</t>
  </si>
  <si>
    <t xml:space="preserve">Check OCM plan.</t>
  </si>
  <si>
    <t xml:space="preserve">OCM plan + champions list.</t>
  </si>
  <si>
    <t xml:space="preserve">Generic OCM → Correction.</t>
  </si>
  <si>
    <t xml:space="preserve">Government budget-line commitment has a concrete political mechanism (MoF instruction, budget-circular line).</t>
  </si>
  <si>
    <t xml:space="preserve">Inspect mechanism.</t>
  </si>
  <si>
    <t xml:space="preserve">Mechanism doc.</t>
  </si>
  <si>
    <t xml:space="preserve">Generic aspiration → Objection-risk.</t>
  </si>
  <si>
    <t xml:space="preserve">MoH PS + MoF</t>
  </si>
  <si>
    <t xml:space="preserve">K11</t>
  </si>
  <si>
    <t xml:space="preserve">Residual risks after mitigation are truly residual (not just transferred to another line).</t>
  </si>
  <si>
    <t xml:space="preserve">Inspect before/after severity.</t>
  </si>
  <si>
    <t xml:space="preserve">Residual-risk note.</t>
  </si>
  <si>
    <t xml:space="preserve">Transfers disguised as mitigations → Correction.</t>
  </si>
  <si>
    <t xml:space="preserve">K12</t>
  </si>
  <si>
    <t xml:space="preserve">Risk-review cadence is established (quarterly register refresh; monthly Critical review).</t>
  </si>
  <si>
    <t xml:space="preserve">Calendar commitments.</t>
  </si>
  <si>
    <t xml:space="preserve">Cadence note.</t>
  </si>
  <si>
    <t xml:space="preserve">No cadence → Clarification.</t>
  </si>
  <si>
    <t xml:space="preserve">S — Stakeholder Coverage Tracking</t>
  </si>
  <si>
    <t xml:space="preserve">S01</t>
  </si>
  <si>
    <t xml:space="preserve">Every core-validation item has a primary response owner who is physically in the room (or on named proxy).</t>
  </si>
  <si>
    <t xml:space="preserve">For each item (B/D/A/I/T/R1/R2/R3/R4) verify owner is present.</t>
  </si>
  <si>
    <t xml:space="preserve">Attendance register annotated per item.</t>
  </si>
  <si>
    <t xml:space="preserve">Owner absent without proxy → item deferred; re-run post-workshop.</t>
  </si>
  <si>
    <t xml:space="preserve">S02</t>
  </si>
  <si>
    <t xml:space="preserve">Every OBJECTION has a documented alternative position from the objector.</t>
  </si>
  <si>
    <t xml:space="preserve">Walk objections; missing alternative → chase.</t>
  </si>
  <si>
    <t xml:space="preserve">Feedback log alternative column.</t>
  </si>
  <si>
    <t xml:space="preserve">Bare objection (no alternative) → escalate.</t>
  </si>
  <si>
    <t xml:space="preserve">S03</t>
  </si>
  <si>
    <t xml:space="preserve">Every CORRECTION has proposed alternative text from the corrector.</t>
  </si>
  <si>
    <t xml:space="preserve">Walk corrections; missing text → chase.</t>
  </si>
  <si>
    <t xml:space="preserve">Feedback log proposed-change column.</t>
  </si>
  <si>
    <t xml:space="preserve">Bare correction (no text) → escalate.</t>
  </si>
  <si>
    <t xml:space="preserve">S04</t>
  </si>
  <si>
    <t xml:space="preserve">Every CLARIFICATION has a written answer (either in session or in the written-response log).</t>
  </si>
  <si>
    <t xml:space="preserve">Walk clarifications; unanswered → assign to Lead Architect 48h.</t>
  </si>
  <si>
    <t xml:space="preserve">Clarification answer log.</t>
  </si>
  <si>
    <t xml:space="preserve">Unanswered after 48h → escalate.</t>
  </si>
  <si>
    <t xml:space="preserve">S05</t>
  </si>
  <si>
    <t xml:space="preserve">Every ENHANCEMENT has a decision (adopt / defer to backlog / decline with reason).</t>
  </si>
  <si>
    <t xml:space="preserve">Walk enhancements; undecided → decide.</t>
  </si>
  <si>
    <t xml:space="preserve">Enhancement decision log.</t>
  </si>
  <si>
    <t xml:space="preserve">“Will consider” → re-classify as deferred or declined with reason.</t>
  </si>
  <si>
    <t xml:space="preserve">PR — Process-Integrity Self-Check (close-out)</t>
  </si>
  <si>
    <t xml:space="preserve">PR01</t>
  </si>
  <si>
    <t xml:space="preserve">Every Day-1 session ended with all planned classifications logged.</t>
  </si>
  <si>
    <t xml:space="preserve">Count scheduled items vs logged classifications.</t>
  </si>
  <si>
    <t xml:space="preserve">Day-1 log tally.</t>
  </si>
  <si>
    <t xml:space="preserve">Missing classifications → reopen Day 2 morning.</t>
  </si>
  <si>
    <t xml:space="preserve">PR02</t>
  </si>
  <si>
    <t xml:space="preserve">Every Day-2 session ended with all planned classifications logged.</t>
  </si>
  <si>
    <t xml:space="preserve">As above.</t>
  </si>
  <si>
    <t xml:space="preserve">Day-2 log tally.</t>
  </si>
  <si>
    <t xml:space="preserve">Missing → reopen Day 3 morning.</t>
  </si>
  <si>
    <t xml:space="preserve">PR03</t>
  </si>
  <si>
    <t xml:space="preserve">Every Day-3 session ended with all planned classifications logged.</t>
  </si>
  <si>
    <t xml:space="preserve">Day-3 log tally.</t>
  </si>
  <si>
    <t xml:space="preserve">Missing → escalate to written response.</t>
  </si>
  <si>
    <t xml:space="preserve">PR04</t>
  </si>
  <si>
    <t xml:space="preserve">Parking-lot has zero open items at end of Day 3 (or each open item has a written-response owner named).</t>
  </si>
  <si>
    <t xml:space="preserve">Parking-lot review in S3.5.</t>
  </si>
  <si>
    <t xml:space="preserve">Parking-lot close-out sheet.</t>
  </si>
  <si>
    <t xml:space="preserve">Open item with no owner → PM assigns.</t>
  </si>
  <si>
    <t xml:space="preserve">PR05</t>
  </si>
  <si>
    <t xml:space="preserve">Decision memo signed by PS, PDGA DG, RDIP PM before adjournment.</t>
  </si>
  <si>
    <t xml:space="preserve">Printed memo signed.</t>
  </si>
  <si>
    <t xml:space="preserve">Scanned signed memo in PMU file.</t>
  </si>
  <si>
    <t xml:space="preserve">Missing signature → workshop not formally closed.</t>
  </si>
  <si>
    <t xml:space="preserve">PR06</t>
  </si>
  <si>
    <t xml:space="preserve">Feedback log e-mailed to all participants within 24h.</t>
  </si>
  <si>
    <t xml:space="preserve">Distribution tracker.</t>
  </si>
  <si>
    <t xml:space="preserve">Sent-e-mail log.</t>
  </si>
  <si>
    <t xml:space="preserve">Missed 24h → remedial send + apology.</t>
  </si>
  <si>
    <t xml:space="preserve">Validation Progress Dashboard</t>
  </si>
  <si>
    <t xml:space="preserve">Core validation tabs (classification column J)</t>
  </si>
  <si>
    <t xml:space="preserve">Tab</t>
  </si>
  <si>
    <t xml:space="preserve">Total</t>
  </si>
  <si>
    <t xml:space="preserve">Confirmed</t>
  </si>
  <si>
    <t xml:space="preserve">% Closed</t>
  </si>
  <si>
    <t xml:space="preserve">B Business</t>
  </si>
  <si>
    <t xml:space="preserve">D Data</t>
  </si>
  <si>
    <t xml:space="preserve">A Application</t>
  </si>
  <si>
    <t xml:space="preserve">I Integration</t>
  </si>
  <si>
    <t xml:space="preserve">T Technology</t>
  </si>
  <si>
    <t xml:space="preserve">R1 Timeline</t>
  </si>
  <si>
    <t xml:space="preserve">R2 Investment</t>
  </si>
  <si>
    <t xml:space="preserve">R3 Risks</t>
  </si>
  <si>
    <t xml:space="preserve">R4 Governance</t>
  </si>
  <si>
    <t xml:space="preserve">CORE TOTAL</t>
  </si>
  <si>
    <t xml:space="preserve">Supplementary tabs (status column G)</t>
  </si>
  <si>
    <t xml:space="preserve">Done</t>
  </si>
  <si>
    <t xml:space="preserve">In progress</t>
  </si>
  <si>
    <t xml:space="preserve">Blocked</t>
  </si>
  <si>
    <t xml:space="preserve">Failed</t>
  </si>
  <si>
    <t xml:space="preserve">% Done</t>
  </si>
  <si>
    <t xml:space="preserve">V0 Pre-workshop</t>
  </si>
  <si>
    <t xml:space="preserve">P Premise</t>
  </si>
  <si>
    <t xml:space="preserve">G Commitments</t>
  </si>
  <si>
    <t xml:space="preserve">L Legal</t>
  </si>
  <si>
    <t xml:space="preserve">X Cross-ref</t>
  </si>
  <si>
    <t xml:space="preserve">K Risks</t>
  </si>
  <si>
    <t xml:space="preserve">S Coverage</t>
  </si>
  <si>
    <t xml:space="preserve">PR Process</t>
  </si>
  <si>
    <t xml:space="preserve">SUPP TOTAL</t>
  </si>
  <si>
    <t xml:space="preserve">Exit gate for workshop close</t>
  </si>
  <si>
    <t xml:space="preserve">Gate 1</t>
  </si>
  <si>
    <t xml:space="preserve">All core items classified (0 Pending)</t>
  </si>
  <si>
    <t xml:space="preserve">Gate 2</t>
  </si>
  <si>
    <t xml:space="preserve">All supplementary items Done or N/A (no Pending/Blocked/Failed)</t>
  </si>
  <si>
    <t xml:space="preserve">Gate 3</t>
  </si>
  <si>
    <t xml:space="preserve">Every Objection has disposition (S Coverage S02 Done)</t>
  </si>
  <si>
    <t xml:space="preserve">MANUAL VERIFY — see S Coverage tab</t>
  </si>
  <si>
    <t xml:space="preserve">Gate 4</t>
  </si>
  <si>
    <t xml:space="preserve">Decision memo signed (PR05 Done)</t>
  </si>
  <si>
    <t xml:space="preserve">MANUAL VERIFY — see PR Process tab</t>
  </si>
  <si>
    <t xml:space="preserve">Gate 5</t>
  </si>
  <si>
    <t xml:space="preserve">Feedback log distributed (PR06 Done)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</si>
</sst>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B4C7E7"/>
        <bgColor rgb="FFBFBFBF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D9E2F3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0</v>
      </c>
    </row>
    <row r="2" customFormat="false" ht="21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7.35" hidden="false" customHeight="false" outlineLevel="0" collapsed="false">
      <c r="A10" s="5" t="s">
        <v>12</v>
      </c>
    </row>
    <row r="12" customFormat="false" ht="35.05" hidden="false" customHeight="false" outlineLevel="0" collapsed="false">
      <c r="A12" s="6" t="s">
        <v>13</v>
      </c>
      <c r="B12" s="7" t="s">
        <v>14</v>
      </c>
    </row>
    <row r="13" customFormat="false" ht="23.85" hidden="false" customHeight="false" outlineLevel="0" collapsed="false">
      <c r="A13" s="6" t="s">
        <v>15</v>
      </c>
      <c r="B13" s="7" t="s">
        <v>16</v>
      </c>
    </row>
    <row r="14" customFormat="false" ht="23.85" hidden="false" customHeight="false" outlineLevel="0" collapsed="false">
      <c r="A14" s="6" t="s">
        <v>17</v>
      </c>
      <c r="B14" s="7" t="s">
        <v>18</v>
      </c>
    </row>
    <row r="15" customFormat="false" ht="23.85" hidden="false" customHeight="false" outlineLevel="0" collapsed="false">
      <c r="A15" s="6" t="s">
        <v>19</v>
      </c>
      <c r="B15" s="7" t="s">
        <v>20</v>
      </c>
    </row>
    <row r="16" customFormat="false" ht="23.85" hidden="false" customHeight="false" outlineLevel="0" collapsed="false">
      <c r="A16" s="6" t="s">
        <v>21</v>
      </c>
      <c r="B16" s="7" t="s">
        <v>22</v>
      </c>
    </row>
    <row r="17" customFormat="false" ht="23.85" hidden="false" customHeight="false" outlineLevel="0" collapsed="false">
      <c r="A17" s="6" t="s">
        <v>23</v>
      </c>
      <c r="B17" s="7" t="s">
        <v>24</v>
      </c>
    </row>
    <row r="20" customFormat="false" ht="17.35" hidden="false" customHeight="false" outlineLevel="0" collapsed="false">
      <c r="A20" s="5" t="s">
        <v>25</v>
      </c>
    </row>
    <row r="22" customFormat="false" ht="15" hidden="false" customHeight="false" outlineLevel="0" collapsed="false">
      <c r="A22" s="8" t="s">
        <v>26</v>
      </c>
      <c r="B22" s="8" t="s">
        <v>27</v>
      </c>
      <c r="C22" s="8" t="s">
        <v>28</v>
      </c>
    </row>
    <row r="23" customFormat="false" ht="15" hidden="false" customHeight="false" outlineLevel="0" collapsed="false">
      <c r="A23" s="9" t="s">
        <v>29</v>
      </c>
      <c r="B23" s="10" t="s">
        <v>30</v>
      </c>
      <c r="C23" s="10" t="s">
        <v>31</v>
      </c>
    </row>
    <row r="24" customFormat="false" ht="15" hidden="false" customHeight="false" outlineLevel="0" collapsed="false">
      <c r="A24" s="11" t="s">
        <v>32</v>
      </c>
      <c r="B24" s="10" t="s">
        <v>33</v>
      </c>
      <c r="C24" s="10" t="s">
        <v>34</v>
      </c>
    </row>
    <row r="25" customFormat="false" ht="15" hidden="false" customHeight="false" outlineLevel="0" collapsed="false">
      <c r="A25" s="12" t="s">
        <v>35</v>
      </c>
      <c r="B25" s="10" t="s">
        <v>36</v>
      </c>
      <c r="C25" s="10" t="s">
        <v>37</v>
      </c>
    </row>
    <row r="26" customFormat="false" ht="15" hidden="false" customHeight="false" outlineLevel="0" collapsed="false">
      <c r="A26" s="13" t="s">
        <v>38</v>
      </c>
      <c r="B26" s="10" t="s">
        <v>39</v>
      </c>
      <c r="C26" s="10" t="s">
        <v>40</v>
      </c>
    </row>
    <row r="27" customFormat="false" ht="15" hidden="false" customHeight="false" outlineLevel="0" collapsed="false">
      <c r="A27" s="14" t="s">
        <v>41</v>
      </c>
      <c r="B27" s="10" t="s">
        <v>42</v>
      </c>
      <c r="C27" s="10" t="s">
        <v>43</v>
      </c>
    </row>
    <row r="28" customFormat="false" ht="15" hidden="false" customHeight="false" outlineLevel="0" collapsed="false">
      <c r="A28" s="15" t="s">
        <v>44</v>
      </c>
      <c r="B28" s="10" t="s">
        <v>45</v>
      </c>
      <c r="C28" s="10" t="s">
        <v>31</v>
      </c>
    </row>
    <row r="29" customFormat="false" ht="15" hidden="false" customHeight="false" outlineLevel="0" collapsed="false">
      <c r="A29" s="16" t="s">
        <v>46</v>
      </c>
      <c r="B29" s="10" t="s">
        <v>47</v>
      </c>
      <c r="C29" s="1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48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2" t="s">
        <v>46</v>
      </c>
      <c r="H4" s="10"/>
    </row>
    <row r="5" customFormat="false" ht="72" hidden="false" customHeight="true" outlineLevel="0" collapsed="false">
      <c r="A5" s="10" t="s">
        <v>63</v>
      </c>
      <c r="B5" s="10" t="s">
        <v>64</v>
      </c>
      <c r="C5" s="10" t="s">
        <v>65</v>
      </c>
      <c r="D5" s="10" t="s">
        <v>66</v>
      </c>
      <c r="E5" s="10" t="s">
        <v>67</v>
      </c>
      <c r="F5" s="10" t="s">
        <v>62</v>
      </c>
      <c r="G5" s="12" t="s">
        <v>46</v>
      </c>
      <c r="H5" s="10"/>
    </row>
    <row r="6" customFormat="false" ht="72" hidden="false" customHeight="true" outlineLevel="0" collapsed="false">
      <c r="A6" s="10" t="s">
        <v>68</v>
      </c>
      <c r="B6" s="10" t="s">
        <v>69</v>
      </c>
      <c r="C6" s="10" t="s">
        <v>70</v>
      </c>
      <c r="D6" s="10" t="s">
        <v>71</v>
      </c>
      <c r="E6" s="10" t="s">
        <v>72</v>
      </c>
      <c r="F6" s="10" t="s">
        <v>73</v>
      </c>
      <c r="G6" s="12" t="s">
        <v>46</v>
      </c>
      <c r="H6" s="10"/>
    </row>
    <row r="7" customFormat="false" ht="72" hidden="false" customHeight="true" outlineLevel="0" collapsed="false">
      <c r="A7" s="10" t="s">
        <v>74</v>
      </c>
      <c r="B7" s="10" t="s">
        <v>75</v>
      </c>
      <c r="C7" s="10" t="s">
        <v>76</v>
      </c>
      <c r="D7" s="10" t="s">
        <v>77</v>
      </c>
      <c r="E7" s="10" t="s">
        <v>78</v>
      </c>
      <c r="F7" s="10" t="s">
        <v>79</v>
      </c>
      <c r="G7" s="12" t="s">
        <v>46</v>
      </c>
      <c r="H7" s="10"/>
    </row>
    <row r="8" customFormat="false" ht="72" hidden="false" customHeight="true" outlineLevel="0" collapsed="false">
      <c r="A8" s="10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79</v>
      </c>
      <c r="G8" s="12" t="s">
        <v>46</v>
      </c>
      <c r="H8" s="10"/>
    </row>
    <row r="9" customFormat="false" ht="72" hidden="false" customHeight="true" outlineLevel="0" collapsed="false">
      <c r="A9" s="10" t="s">
        <v>85</v>
      </c>
      <c r="B9" s="10" t="s">
        <v>86</v>
      </c>
      <c r="C9" s="10" t="s">
        <v>87</v>
      </c>
      <c r="D9" s="10" t="s">
        <v>88</v>
      </c>
      <c r="E9" s="10" t="s">
        <v>89</v>
      </c>
      <c r="F9" s="10" t="s">
        <v>90</v>
      </c>
      <c r="G9" s="12" t="s">
        <v>46</v>
      </c>
      <c r="H9" s="10"/>
    </row>
    <row r="10" customFormat="false" ht="72" hidden="false" customHeight="true" outlineLevel="0" collapsed="false">
      <c r="A10" s="10" t="s">
        <v>91</v>
      </c>
      <c r="B10" s="10" t="s">
        <v>92</v>
      </c>
      <c r="C10" s="10" t="s">
        <v>93</v>
      </c>
      <c r="D10" s="10" t="s">
        <v>94</v>
      </c>
      <c r="E10" s="10" t="s">
        <v>95</v>
      </c>
      <c r="F10" s="10" t="s">
        <v>96</v>
      </c>
      <c r="G10" s="12" t="s">
        <v>46</v>
      </c>
      <c r="H10" s="10"/>
    </row>
    <row r="11" customFormat="false" ht="72" hidden="false" customHeight="true" outlineLevel="0" collapsed="false">
      <c r="A11" s="10" t="s">
        <v>97</v>
      </c>
      <c r="B11" s="10" t="s">
        <v>98</v>
      </c>
      <c r="C11" s="10" t="s">
        <v>99</v>
      </c>
      <c r="D11" s="10" t="s">
        <v>100</v>
      </c>
      <c r="E11" s="10" t="s">
        <v>101</v>
      </c>
      <c r="F11" s="10" t="s">
        <v>62</v>
      </c>
      <c r="G11" s="12" t="s">
        <v>46</v>
      </c>
      <c r="H11" s="10"/>
    </row>
    <row r="12" customFormat="false" ht="72" hidden="false" customHeight="true" outlineLevel="0" collapsed="false">
      <c r="A12" s="10" t="s">
        <v>102</v>
      </c>
      <c r="B12" s="10" t="s">
        <v>103</v>
      </c>
      <c r="C12" s="10" t="s">
        <v>104</v>
      </c>
      <c r="D12" s="10" t="s">
        <v>105</v>
      </c>
      <c r="E12" s="10" t="s">
        <v>106</v>
      </c>
      <c r="F12" s="10" t="s">
        <v>62</v>
      </c>
      <c r="G12" s="12" t="s">
        <v>46</v>
      </c>
      <c r="H12" s="10"/>
    </row>
    <row r="13" customFormat="false" ht="72" hidden="false" customHeight="true" outlineLevel="0" collapsed="false">
      <c r="A13" s="10" t="s">
        <v>107</v>
      </c>
      <c r="B13" s="10" t="s">
        <v>108</v>
      </c>
      <c r="C13" s="10" t="s">
        <v>109</v>
      </c>
      <c r="D13" s="10" t="s">
        <v>110</v>
      </c>
      <c r="E13" s="10" t="s">
        <v>111</v>
      </c>
      <c r="F13" s="10" t="s">
        <v>62</v>
      </c>
      <c r="G13" s="12" t="s">
        <v>46</v>
      </c>
      <c r="H13" s="10"/>
    </row>
    <row r="14" customFormat="false" ht="72" hidden="false" customHeight="true" outlineLevel="0" collapsed="false">
      <c r="A14" s="10" t="s">
        <v>112</v>
      </c>
      <c r="B14" s="10" t="s">
        <v>113</v>
      </c>
      <c r="C14" s="10" t="s">
        <v>114</v>
      </c>
      <c r="D14" s="10" t="s">
        <v>115</v>
      </c>
      <c r="E14" s="10" t="s">
        <v>116</v>
      </c>
      <c r="F14" s="10" t="s">
        <v>117</v>
      </c>
      <c r="G14" s="12" t="s">
        <v>46</v>
      </c>
      <c r="H14" s="10"/>
    </row>
    <row r="15" customFormat="false" ht="72" hidden="false" customHeight="true" outlineLevel="0" collapsed="false">
      <c r="A15" s="10" t="s">
        <v>118</v>
      </c>
      <c r="B15" s="10" t="s">
        <v>119</v>
      </c>
      <c r="C15" s="10" t="s">
        <v>120</v>
      </c>
      <c r="D15" s="10" t="s">
        <v>121</v>
      </c>
      <c r="E15" s="10" t="s">
        <v>122</v>
      </c>
      <c r="F15" s="10" t="s">
        <v>79</v>
      </c>
      <c r="G15" s="12" t="s">
        <v>46</v>
      </c>
      <c r="H15" s="10"/>
    </row>
    <row r="16" customFormat="false" ht="72" hidden="false" customHeight="true" outlineLevel="0" collapsed="false">
      <c r="A16" s="10" t="s">
        <v>123</v>
      </c>
      <c r="B16" s="10" t="s">
        <v>124</v>
      </c>
      <c r="C16" s="10" t="s">
        <v>125</v>
      </c>
      <c r="D16" s="10" t="s">
        <v>126</v>
      </c>
      <c r="E16" s="10" t="s">
        <v>127</v>
      </c>
      <c r="F16" s="10" t="s">
        <v>62</v>
      </c>
      <c r="G16" s="12" t="s">
        <v>46</v>
      </c>
      <c r="H16" s="10"/>
    </row>
    <row r="17" customFormat="false" ht="72" hidden="false" customHeight="true" outlineLevel="0" collapsed="false">
      <c r="A17" s="10" t="s">
        <v>128</v>
      </c>
      <c r="B17" s="10" t="s">
        <v>129</v>
      </c>
      <c r="C17" s="10" t="s">
        <v>130</v>
      </c>
      <c r="D17" s="10" t="s">
        <v>131</v>
      </c>
      <c r="E17" s="10" t="s">
        <v>132</v>
      </c>
      <c r="F17" s="10" t="s">
        <v>73</v>
      </c>
      <c r="G17" s="12" t="s">
        <v>46</v>
      </c>
      <c r="H17" s="10"/>
    </row>
    <row r="18" customFormat="false" ht="72" hidden="false" customHeight="true" outlineLevel="0" collapsed="false">
      <c r="A18" s="10" t="s">
        <v>133</v>
      </c>
      <c r="B18" s="10" t="s">
        <v>134</v>
      </c>
      <c r="C18" s="10" t="s">
        <v>135</v>
      </c>
      <c r="D18" s="10" t="s">
        <v>136</v>
      </c>
      <c r="E18" s="10" t="s">
        <v>137</v>
      </c>
      <c r="F18" s="10" t="s">
        <v>79</v>
      </c>
      <c r="G18" s="12" t="s">
        <v>46</v>
      </c>
      <c r="H18" s="10"/>
    </row>
  </sheetData>
  <dataValidations count="1">
    <dataValidation allowBlank="true" errorStyle="stop" operator="between" showDropDown="false" showErrorMessage="false" showInputMessage="false" sqref="G4:G18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138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139</v>
      </c>
      <c r="B4" s="10" t="s">
        <v>140</v>
      </c>
      <c r="C4" s="10" t="s">
        <v>141</v>
      </c>
      <c r="D4" s="10" t="s">
        <v>142</v>
      </c>
      <c r="E4" s="10" t="s">
        <v>143</v>
      </c>
      <c r="F4" s="10" t="s">
        <v>144</v>
      </c>
      <c r="G4" s="12" t="s">
        <v>46</v>
      </c>
      <c r="H4" s="10"/>
    </row>
    <row r="5" customFormat="false" ht="72" hidden="false" customHeight="true" outlineLevel="0" collapsed="false">
      <c r="A5" s="10" t="s">
        <v>145</v>
      </c>
      <c r="B5" s="10" t="s">
        <v>146</v>
      </c>
      <c r="C5" s="10" t="s">
        <v>147</v>
      </c>
      <c r="D5" s="10" t="s">
        <v>148</v>
      </c>
      <c r="E5" s="10" t="s">
        <v>149</v>
      </c>
      <c r="F5" s="10" t="s">
        <v>150</v>
      </c>
      <c r="G5" s="12" t="s">
        <v>46</v>
      </c>
      <c r="H5" s="10"/>
    </row>
    <row r="6" customFormat="false" ht="72" hidden="false" customHeight="true" outlineLevel="0" collapsed="false">
      <c r="A6" s="10" t="s">
        <v>151</v>
      </c>
      <c r="B6" s="10" t="s">
        <v>152</v>
      </c>
      <c r="C6" s="10" t="s">
        <v>153</v>
      </c>
      <c r="D6" s="10" t="s">
        <v>154</v>
      </c>
      <c r="E6" s="10" t="s">
        <v>155</v>
      </c>
      <c r="F6" s="10" t="s">
        <v>156</v>
      </c>
      <c r="G6" s="12" t="s">
        <v>46</v>
      </c>
      <c r="H6" s="10"/>
    </row>
    <row r="7" customFormat="false" ht="72" hidden="false" customHeight="true" outlineLevel="0" collapsed="false">
      <c r="A7" s="10" t="s">
        <v>157</v>
      </c>
      <c r="B7" s="10" t="s">
        <v>158</v>
      </c>
      <c r="C7" s="10" t="s">
        <v>159</v>
      </c>
      <c r="D7" s="10" t="s">
        <v>160</v>
      </c>
      <c r="E7" s="10" t="s">
        <v>161</v>
      </c>
      <c r="F7" s="10" t="s">
        <v>162</v>
      </c>
      <c r="G7" s="12" t="s">
        <v>46</v>
      </c>
      <c r="H7" s="10"/>
    </row>
    <row r="8" customFormat="false" ht="72" hidden="false" customHeight="true" outlineLevel="0" collapsed="false">
      <c r="A8" s="10" t="s">
        <v>163</v>
      </c>
      <c r="B8" s="10" t="s">
        <v>164</v>
      </c>
      <c r="C8" s="10" t="s">
        <v>165</v>
      </c>
      <c r="D8" s="10" t="s">
        <v>148</v>
      </c>
      <c r="E8" s="10" t="s">
        <v>166</v>
      </c>
      <c r="F8" s="10" t="s">
        <v>144</v>
      </c>
      <c r="G8" s="12" t="s">
        <v>46</v>
      </c>
      <c r="H8" s="10"/>
    </row>
    <row r="9" customFormat="false" ht="72" hidden="false" customHeight="true" outlineLevel="0" collapsed="false">
      <c r="A9" s="10" t="s">
        <v>167</v>
      </c>
      <c r="B9" s="10" t="s">
        <v>168</v>
      </c>
      <c r="C9" s="10" t="s">
        <v>169</v>
      </c>
      <c r="D9" s="10" t="s">
        <v>170</v>
      </c>
      <c r="E9" s="10" t="s">
        <v>171</v>
      </c>
      <c r="F9" s="10" t="s">
        <v>172</v>
      </c>
      <c r="G9" s="12" t="s">
        <v>46</v>
      </c>
      <c r="H9" s="10"/>
    </row>
    <row r="10" customFormat="false" ht="72" hidden="false" customHeight="true" outlineLevel="0" collapsed="false">
      <c r="A10" s="10" t="s">
        <v>173</v>
      </c>
      <c r="B10" s="10" t="s">
        <v>174</v>
      </c>
      <c r="C10" s="10" t="s">
        <v>175</v>
      </c>
      <c r="D10" s="10" t="s">
        <v>176</v>
      </c>
      <c r="E10" s="10" t="s">
        <v>177</v>
      </c>
      <c r="F10" s="10" t="s">
        <v>178</v>
      </c>
      <c r="G10" s="12" t="s">
        <v>46</v>
      </c>
      <c r="H10" s="10"/>
    </row>
    <row r="11" customFormat="false" ht="72" hidden="false" customHeight="true" outlineLevel="0" collapsed="false">
      <c r="A11" s="10" t="s">
        <v>179</v>
      </c>
      <c r="B11" s="10" t="s">
        <v>180</v>
      </c>
      <c r="C11" s="10" t="s">
        <v>181</v>
      </c>
      <c r="D11" s="10" t="s">
        <v>148</v>
      </c>
      <c r="E11" s="10" t="s">
        <v>182</v>
      </c>
      <c r="F11" s="10" t="s">
        <v>183</v>
      </c>
      <c r="G11" s="12" t="s">
        <v>46</v>
      </c>
      <c r="H11" s="10"/>
    </row>
  </sheetData>
  <dataValidations count="1">
    <dataValidation allowBlank="true" errorStyle="stop" operator="between" showDropDown="false" showErrorMessage="false" showInputMessage="false" sqref="G4:G11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184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197</v>
      </c>
      <c r="B4" s="10" t="s">
        <v>198</v>
      </c>
      <c r="C4" s="10" t="s">
        <v>199</v>
      </c>
      <c r="D4" s="10" t="s">
        <v>200</v>
      </c>
      <c r="E4" s="10" t="s">
        <v>201</v>
      </c>
      <c r="F4" s="10" t="s">
        <v>202</v>
      </c>
      <c r="G4" s="10" t="s">
        <v>203</v>
      </c>
      <c r="H4" s="10" t="s">
        <v>204</v>
      </c>
      <c r="I4" s="10" t="s">
        <v>205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206</v>
      </c>
      <c r="B5" s="10" t="s">
        <v>198</v>
      </c>
      <c r="C5" s="10" t="s">
        <v>207</v>
      </c>
      <c r="D5" s="10" t="s">
        <v>208</v>
      </c>
      <c r="E5" s="10" t="s">
        <v>209</v>
      </c>
      <c r="F5" s="10" t="s">
        <v>210</v>
      </c>
      <c r="G5" s="10" t="s">
        <v>211</v>
      </c>
      <c r="H5" s="10" t="s">
        <v>212</v>
      </c>
      <c r="I5" s="10" t="s">
        <v>197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213</v>
      </c>
      <c r="B6" s="10" t="s">
        <v>214</v>
      </c>
      <c r="C6" s="10" t="s">
        <v>215</v>
      </c>
      <c r="D6" s="10" t="s">
        <v>216</v>
      </c>
      <c r="E6" s="10" t="s">
        <v>217</v>
      </c>
      <c r="F6" s="10" t="s">
        <v>218</v>
      </c>
      <c r="G6" s="10" t="s">
        <v>219</v>
      </c>
      <c r="H6" s="10" t="s">
        <v>220</v>
      </c>
      <c r="I6" s="10" t="s">
        <v>221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222</v>
      </c>
      <c r="B7" s="10" t="s">
        <v>223</v>
      </c>
      <c r="C7" s="10" t="s">
        <v>224</v>
      </c>
      <c r="D7" s="10" t="s">
        <v>225</v>
      </c>
      <c r="E7" s="10" t="s">
        <v>226</v>
      </c>
      <c r="F7" s="10" t="s">
        <v>227</v>
      </c>
      <c r="G7" s="10" t="s">
        <v>228</v>
      </c>
      <c r="H7" s="10" t="s">
        <v>229</v>
      </c>
      <c r="I7" s="10" t="s">
        <v>230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231</v>
      </c>
      <c r="B8" s="10" t="s">
        <v>232</v>
      </c>
      <c r="C8" s="10" t="s">
        <v>233</v>
      </c>
      <c r="D8" s="10" t="s">
        <v>234</v>
      </c>
      <c r="E8" s="10" t="s">
        <v>235</v>
      </c>
      <c r="F8" s="10" t="s">
        <v>236</v>
      </c>
      <c r="G8" s="10" t="s">
        <v>237</v>
      </c>
      <c r="H8" s="10" t="s">
        <v>238</v>
      </c>
      <c r="I8" s="10" t="s">
        <v>239</v>
      </c>
      <c r="J8" s="12" t="s">
        <v>46</v>
      </c>
      <c r="K8" s="10"/>
      <c r="L8" s="10"/>
      <c r="M8" s="10"/>
      <c r="N8" s="10"/>
    </row>
    <row r="9" customFormat="false" ht="90" hidden="false" customHeight="true" outlineLevel="0" collapsed="false">
      <c r="A9" s="10" t="s">
        <v>240</v>
      </c>
      <c r="B9" s="10" t="s">
        <v>241</v>
      </c>
      <c r="C9" s="10" t="s">
        <v>242</v>
      </c>
      <c r="D9" s="10" t="s">
        <v>243</v>
      </c>
      <c r="E9" s="10" t="s">
        <v>244</v>
      </c>
      <c r="F9" s="10" t="s">
        <v>245</v>
      </c>
      <c r="G9" s="10" t="s">
        <v>246</v>
      </c>
      <c r="H9" s="10" t="s">
        <v>144</v>
      </c>
      <c r="I9" s="10" t="s">
        <v>247</v>
      </c>
      <c r="J9" s="12" t="s">
        <v>46</v>
      </c>
      <c r="K9" s="10"/>
      <c r="L9" s="10"/>
      <c r="M9" s="10"/>
      <c r="N9" s="10"/>
    </row>
    <row r="10" customFormat="false" ht="90" hidden="false" customHeight="true" outlineLevel="0" collapsed="false">
      <c r="A10" s="10" t="s">
        <v>248</v>
      </c>
      <c r="B10" s="10" t="s">
        <v>249</v>
      </c>
      <c r="C10" s="10" t="s">
        <v>250</v>
      </c>
      <c r="D10" s="10" t="s">
        <v>251</v>
      </c>
      <c r="E10" s="10" t="s">
        <v>252</v>
      </c>
      <c r="F10" s="10" t="s">
        <v>253</v>
      </c>
      <c r="G10" s="10" t="s">
        <v>254</v>
      </c>
      <c r="H10" s="10" t="s">
        <v>255</v>
      </c>
      <c r="I10" s="10" t="s">
        <v>256</v>
      </c>
      <c r="J10" s="12" t="s">
        <v>46</v>
      </c>
      <c r="K10" s="10"/>
      <c r="L10" s="10"/>
      <c r="M10" s="10"/>
      <c r="N10" s="10"/>
    </row>
  </sheetData>
  <dataValidations count="1">
    <dataValidation allowBlank="true" errorStyle="stop" operator="between" showDropDown="false" showErrorMessage="false" showInputMessage="false" sqref="J4:J10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257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258</v>
      </c>
      <c r="B4" s="10" t="s">
        <v>259</v>
      </c>
      <c r="C4" s="10" t="s">
        <v>260</v>
      </c>
      <c r="D4" s="10" t="s">
        <v>261</v>
      </c>
      <c r="E4" s="10" t="s">
        <v>262</v>
      </c>
      <c r="F4" s="10" t="s">
        <v>263</v>
      </c>
      <c r="G4" s="10" t="s">
        <v>264</v>
      </c>
      <c r="H4" s="10" t="s">
        <v>265</v>
      </c>
      <c r="I4" s="10" t="s">
        <v>266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267</v>
      </c>
      <c r="B5" s="10" t="s">
        <v>268</v>
      </c>
      <c r="C5" s="10" t="s">
        <v>269</v>
      </c>
      <c r="D5" s="10" t="s">
        <v>270</v>
      </c>
      <c r="E5" s="10" t="s">
        <v>271</v>
      </c>
      <c r="F5" s="10" t="s">
        <v>272</v>
      </c>
      <c r="G5" s="10" t="s">
        <v>273</v>
      </c>
      <c r="H5" s="10" t="s">
        <v>274</v>
      </c>
      <c r="I5" s="10" t="s">
        <v>275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276</v>
      </c>
      <c r="B6" s="10" t="s">
        <v>268</v>
      </c>
      <c r="C6" s="10" t="s">
        <v>277</v>
      </c>
      <c r="D6" s="10" t="s">
        <v>278</v>
      </c>
      <c r="E6" s="10" t="s">
        <v>279</v>
      </c>
      <c r="F6" s="10" t="s">
        <v>280</v>
      </c>
      <c r="G6" s="10" t="s">
        <v>281</v>
      </c>
      <c r="H6" s="10" t="s">
        <v>229</v>
      </c>
      <c r="I6" s="10" t="s">
        <v>282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283</v>
      </c>
      <c r="B7" s="10" t="s">
        <v>284</v>
      </c>
      <c r="C7" s="10" t="s">
        <v>285</v>
      </c>
      <c r="D7" s="10" t="s">
        <v>286</v>
      </c>
      <c r="E7" s="10" t="s">
        <v>287</v>
      </c>
      <c r="F7" s="10" t="s">
        <v>288</v>
      </c>
      <c r="G7" s="10" t="s">
        <v>289</v>
      </c>
      <c r="H7" s="10" t="s">
        <v>290</v>
      </c>
      <c r="I7" s="10" t="s">
        <v>291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292</v>
      </c>
      <c r="B8" s="10" t="s">
        <v>293</v>
      </c>
      <c r="C8" s="10" t="s">
        <v>294</v>
      </c>
      <c r="D8" s="10" t="s">
        <v>295</v>
      </c>
      <c r="E8" s="10" t="s">
        <v>296</v>
      </c>
      <c r="F8" s="10" t="s">
        <v>297</v>
      </c>
      <c r="G8" s="10" t="s">
        <v>298</v>
      </c>
      <c r="H8" s="10" t="s">
        <v>229</v>
      </c>
      <c r="I8" s="10" t="s">
        <v>299</v>
      </c>
      <c r="J8" s="12" t="s">
        <v>46</v>
      </c>
      <c r="K8" s="10"/>
      <c r="L8" s="10"/>
      <c r="M8" s="10"/>
      <c r="N8" s="10"/>
    </row>
    <row r="9" customFormat="false" ht="90" hidden="false" customHeight="true" outlineLevel="0" collapsed="false">
      <c r="A9" s="10" t="s">
        <v>300</v>
      </c>
      <c r="B9" s="10" t="s">
        <v>301</v>
      </c>
      <c r="C9" s="10" t="s">
        <v>302</v>
      </c>
      <c r="D9" s="10" t="s">
        <v>303</v>
      </c>
      <c r="E9" s="10" t="s">
        <v>304</v>
      </c>
      <c r="F9" s="10" t="s">
        <v>305</v>
      </c>
      <c r="G9" s="10" t="s">
        <v>306</v>
      </c>
      <c r="H9" s="10" t="s">
        <v>307</v>
      </c>
      <c r="I9" s="10" t="s">
        <v>308</v>
      </c>
      <c r="J9" s="12" t="s">
        <v>46</v>
      </c>
      <c r="K9" s="10"/>
      <c r="L9" s="10"/>
      <c r="M9" s="10"/>
      <c r="N9" s="10"/>
    </row>
  </sheetData>
  <dataValidations count="1">
    <dataValidation allowBlank="true" errorStyle="stop" operator="between" showDropDown="false" showErrorMessage="false" showInputMessage="false" sqref="J4:J9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309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310</v>
      </c>
      <c r="B4" s="10" t="s">
        <v>311</v>
      </c>
      <c r="C4" s="10" t="s">
        <v>312</v>
      </c>
      <c r="D4" s="10" t="s">
        <v>313</v>
      </c>
      <c r="E4" s="10" t="s">
        <v>314</v>
      </c>
      <c r="F4" s="10" t="s">
        <v>315</v>
      </c>
      <c r="G4" s="10" t="s">
        <v>316</v>
      </c>
      <c r="H4" s="10" t="s">
        <v>317</v>
      </c>
      <c r="I4" s="10" t="s">
        <v>318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319</v>
      </c>
      <c r="B5" s="10" t="s">
        <v>320</v>
      </c>
      <c r="C5" s="10" t="s">
        <v>321</v>
      </c>
      <c r="D5" s="10" t="s">
        <v>322</v>
      </c>
      <c r="E5" s="10" t="s">
        <v>323</v>
      </c>
      <c r="F5" s="10" t="s">
        <v>324</v>
      </c>
      <c r="G5" s="10" t="s">
        <v>325</v>
      </c>
      <c r="H5" s="10" t="s">
        <v>229</v>
      </c>
      <c r="I5" s="10" t="s">
        <v>326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327</v>
      </c>
      <c r="B6" s="10" t="s">
        <v>328</v>
      </c>
      <c r="C6" s="10" t="s">
        <v>329</v>
      </c>
      <c r="D6" s="10" t="s">
        <v>330</v>
      </c>
      <c r="E6" s="10" t="s">
        <v>331</v>
      </c>
      <c r="F6" s="10" t="s">
        <v>332</v>
      </c>
      <c r="G6" s="10" t="s">
        <v>333</v>
      </c>
      <c r="H6" s="10" t="s">
        <v>274</v>
      </c>
      <c r="I6" s="10" t="s">
        <v>334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335</v>
      </c>
      <c r="B7" s="10" t="s">
        <v>336</v>
      </c>
      <c r="C7" s="10" t="s">
        <v>337</v>
      </c>
      <c r="D7" s="10" t="s">
        <v>338</v>
      </c>
      <c r="E7" s="10" t="s">
        <v>339</v>
      </c>
      <c r="F7" s="10" t="s">
        <v>340</v>
      </c>
      <c r="G7" s="10" t="s">
        <v>341</v>
      </c>
      <c r="H7" s="10" t="s">
        <v>342</v>
      </c>
      <c r="I7" s="10" t="s">
        <v>343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344</v>
      </c>
      <c r="B8" s="10" t="s">
        <v>345</v>
      </c>
      <c r="C8" s="10" t="s">
        <v>346</v>
      </c>
      <c r="D8" s="10" t="s">
        <v>347</v>
      </c>
      <c r="E8" s="10" t="s">
        <v>348</v>
      </c>
      <c r="F8" s="10" t="s">
        <v>349</v>
      </c>
      <c r="G8" s="10" t="s">
        <v>350</v>
      </c>
      <c r="H8" s="10" t="s">
        <v>351</v>
      </c>
      <c r="I8" s="10" t="s">
        <v>310</v>
      </c>
      <c r="J8" s="12" t="s">
        <v>46</v>
      </c>
      <c r="K8" s="10"/>
      <c r="L8" s="10"/>
      <c r="M8" s="10"/>
      <c r="N8" s="10"/>
    </row>
    <row r="9" customFormat="false" ht="90" hidden="false" customHeight="true" outlineLevel="0" collapsed="false">
      <c r="A9" s="10" t="s">
        <v>352</v>
      </c>
      <c r="B9" s="10" t="s">
        <v>353</v>
      </c>
      <c r="C9" s="10" t="s">
        <v>354</v>
      </c>
      <c r="D9" s="10" t="s">
        <v>355</v>
      </c>
      <c r="E9" s="10" t="s">
        <v>356</v>
      </c>
      <c r="F9" s="10" t="s">
        <v>357</v>
      </c>
      <c r="G9" s="10" t="s">
        <v>358</v>
      </c>
      <c r="H9" s="10" t="s">
        <v>359</v>
      </c>
      <c r="I9" s="10" t="s">
        <v>360</v>
      </c>
      <c r="J9" s="12" t="s">
        <v>46</v>
      </c>
      <c r="K9" s="10"/>
      <c r="L9" s="10"/>
      <c r="M9" s="10"/>
      <c r="N9" s="10"/>
    </row>
    <row r="10" customFormat="false" ht="90" hidden="false" customHeight="true" outlineLevel="0" collapsed="false">
      <c r="A10" s="10" t="s">
        <v>291</v>
      </c>
      <c r="B10" s="10" t="s">
        <v>361</v>
      </c>
      <c r="C10" s="10" t="s">
        <v>362</v>
      </c>
      <c r="D10" s="10" t="s">
        <v>363</v>
      </c>
      <c r="E10" s="10" t="s">
        <v>364</v>
      </c>
      <c r="F10" s="10" t="s">
        <v>365</v>
      </c>
      <c r="G10" s="10" t="s">
        <v>366</v>
      </c>
      <c r="H10" s="10" t="s">
        <v>367</v>
      </c>
      <c r="I10" s="10" t="s">
        <v>283</v>
      </c>
      <c r="J10" s="12" t="s">
        <v>46</v>
      </c>
      <c r="K10" s="10"/>
      <c r="L10" s="10"/>
      <c r="M10" s="10"/>
      <c r="N10" s="10"/>
    </row>
    <row r="11" customFormat="false" ht="90" hidden="false" customHeight="true" outlineLevel="0" collapsed="false">
      <c r="A11" s="10" t="s">
        <v>368</v>
      </c>
      <c r="B11" s="10" t="s">
        <v>369</v>
      </c>
      <c r="C11" s="10" t="s">
        <v>370</v>
      </c>
      <c r="D11" s="10" t="s">
        <v>371</v>
      </c>
      <c r="E11" s="10" t="s">
        <v>372</v>
      </c>
      <c r="F11" s="10" t="s">
        <v>373</v>
      </c>
      <c r="G11" s="10" t="s">
        <v>374</v>
      </c>
      <c r="H11" s="10" t="s">
        <v>375</v>
      </c>
      <c r="I11" s="10" t="s">
        <v>376</v>
      </c>
      <c r="J11" s="12" t="s">
        <v>46</v>
      </c>
      <c r="K11" s="10"/>
      <c r="L11" s="10"/>
      <c r="M11" s="10"/>
      <c r="N11" s="10"/>
    </row>
  </sheetData>
  <dataValidations count="1">
    <dataValidation allowBlank="true" errorStyle="stop" operator="between" showDropDown="false" showErrorMessage="false" showInputMessage="false" sqref="J4:J11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377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378</v>
      </c>
      <c r="B4" s="10" t="s">
        <v>379</v>
      </c>
      <c r="C4" s="10" t="s">
        <v>380</v>
      </c>
      <c r="D4" s="10" t="s">
        <v>381</v>
      </c>
      <c r="E4" s="10" t="s">
        <v>382</v>
      </c>
      <c r="F4" s="10" t="s">
        <v>383</v>
      </c>
      <c r="G4" s="10" t="s">
        <v>384</v>
      </c>
      <c r="H4" s="10" t="s">
        <v>229</v>
      </c>
      <c r="I4" s="10" t="s">
        <v>385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282</v>
      </c>
      <c r="B5" s="10" t="s">
        <v>386</v>
      </c>
      <c r="C5" s="10" t="s">
        <v>387</v>
      </c>
      <c r="D5" s="10" t="s">
        <v>388</v>
      </c>
      <c r="E5" s="10" t="s">
        <v>389</v>
      </c>
      <c r="F5" s="10" t="s">
        <v>390</v>
      </c>
      <c r="G5" s="10" t="s">
        <v>391</v>
      </c>
      <c r="H5" s="10" t="s">
        <v>229</v>
      </c>
      <c r="I5" s="10" t="s">
        <v>392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393</v>
      </c>
      <c r="B6" s="10" t="s">
        <v>394</v>
      </c>
      <c r="C6" s="10" t="s">
        <v>395</v>
      </c>
      <c r="D6" s="10" t="s">
        <v>396</v>
      </c>
      <c r="E6" s="10" t="s">
        <v>397</v>
      </c>
      <c r="F6" s="10" t="s">
        <v>398</v>
      </c>
      <c r="G6" s="10" t="s">
        <v>399</v>
      </c>
      <c r="H6" s="10" t="s">
        <v>229</v>
      </c>
      <c r="I6" s="10" t="s">
        <v>282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400</v>
      </c>
      <c r="B7" s="10" t="s">
        <v>401</v>
      </c>
      <c r="C7" s="10" t="s">
        <v>402</v>
      </c>
      <c r="D7" s="10" t="s">
        <v>403</v>
      </c>
      <c r="E7" s="10" t="s">
        <v>404</v>
      </c>
      <c r="F7" s="10" t="s">
        <v>405</v>
      </c>
      <c r="G7" s="10" t="s">
        <v>406</v>
      </c>
      <c r="H7" s="10" t="s">
        <v>407</v>
      </c>
      <c r="I7" s="10" t="s">
        <v>408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409</v>
      </c>
      <c r="B8" s="10" t="s">
        <v>410</v>
      </c>
      <c r="C8" s="10" t="s">
        <v>411</v>
      </c>
      <c r="D8" s="10" t="s">
        <v>412</v>
      </c>
      <c r="E8" s="10" t="s">
        <v>413</v>
      </c>
      <c r="F8" s="10" t="s">
        <v>414</v>
      </c>
      <c r="G8" s="10" t="s">
        <v>415</v>
      </c>
      <c r="H8" s="10" t="s">
        <v>162</v>
      </c>
      <c r="I8" s="10" t="s">
        <v>416</v>
      </c>
      <c r="J8" s="12" t="s">
        <v>46</v>
      </c>
      <c r="K8" s="10"/>
      <c r="L8" s="10"/>
      <c r="M8" s="10"/>
      <c r="N8" s="10"/>
    </row>
  </sheetData>
  <dataValidations count="1">
    <dataValidation allowBlank="true" errorStyle="stop" operator="between" showDropDown="false" showErrorMessage="false" showInputMessage="false" sqref="J4:J8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417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418</v>
      </c>
      <c r="B4" s="10" t="s">
        <v>419</v>
      </c>
      <c r="C4" s="10" t="s">
        <v>420</v>
      </c>
      <c r="D4" s="10" t="s">
        <v>421</v>
      </c>
      <c r="E4" s="10" t="s">
        <v>422</v>
      </c>
      <c r="F4" s="10" t="s">
        <v>423</v>
      </c>
      <c r="G4" s="10" t="s">
        <v>424</v>
      </c>
      <c r="H4" s="10" t="s">
        <v>425</v>
      </c>
      <c r="I4" s="10" t="s">
        <v>426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427</v>
      </c>
      <c r="B5" s="10" t="s">
        <v>428</v>
      </c>
      <c r="C5" s="10" t="s">
        <v>429</v>
      </c>
      <c r="D5" s="10" t="s">
        <v>430</v>
      </c>
      <c r="E5" s="10" t="s">
        <v>431</v>
      </c>
      <c r="F5" s="10" t="s">
        <v>432</v>
      </c>
      <c r="G5" s="10" t="s">
        <v>433</v>
      </c>
      <c r="H5" s="10" t="s">
        <v>434</v>
      </c>
      <c r="I5" s="10" t="s">
        <v>435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435</v>
      </c>
      <c r="B6" s="10" t="s">
        <v>436</v>
      </c>
      <c r="C6" s="10" t="s">
        <v>437</v>
      </c>
      <c r="D6" s="10" t="s">
        <v>438</v>
      </c>
      <c r="E6" s="10" t="s">
        <v>439</v>
      </c>
      <c r="F6" s="10" t="s">
        <v>440</v>
      </c>
      <c r="G6" s="10" t="s">
        <v>441</v>
      </c>
      <c r="H6" s="10" t="s">
        <v>442</v>
      </c>
      <c r="I6" s="10" t="s">
        <v>443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444</v>
      </c>
      <c r="B7" s="10" t="s">
        <v>445</v>
      </c>
      <c r="C7" s="10" t="s">
        <v>446</v>
      </c>
      <c r="D7" s="10" t="s">
        <v>447</v>
      </c>
      <c r="E7" s="10" t="s">
        <v>448</v>
      </c>
      <c r="F7" s="10" t="s">
        <v>449</v>
      </c>
      <c r="G7" s="10" t="s">
        <v>450</v>
      </c>
      <c r="H7" s="10" t="s">
        <v>451</v>
      </c>
      <c r="I7" s="10" t="s">
        <v>452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453</v>
      </c>
      <c r="B8" s="10" t="s">
        <v>454</v>
      </c>
      <c r="C8" s="10" t="s">
        <v>455</v>
      </c>
      <c r="D8" s="10" t="s">
        <v>456</v>
      </c>
      <c r="E8" s="10" t="s">
        <v>457</v>
      </c>
      <c r="F8" s="10" t="s">
        <v>458</v>
      </c>
      <c r="G8" s="10" t="s">
        <v>459</v>
      </c>
      <c r="H8" s="10" t="s">
        <v>183</v>
      </c>
      <c r="I8" s="10" t="s">
        <v>418</v>
      </c>
      <c r="J8" s="12" t="s">
        <v>46</v>
      </c>
      <c r="K8" s="10"/>
      <c r="L8" s="10"/>
      <c r="M8" s="10"/>
      <c r="N8" s="10"/>
    </row>
    <row r="9" customFormat="false" ht="90" hidden="false" customHeight="true" outlineLevel="0" collapsed="false">
      <c r="A9" s="10" t="s">
        <v>460</v>
      </c>
      <c r="B9" s="10" t="s">
        <v>461</v>
      </c>
      <c r="C9" s="10" t="s">
        <v>462</v>
      </c>
      <c r="D9" s="10" t="s">
        <v>463</v>
      </c>
      <c r="E9" s="10" t="s">
        <v>464</v>
      </c>
      <c r="F9" s="10" t="s">
        <v>465</v>
      </c>
      <c r="G9" s="10" t="s">
        <v>466</v>
      </c>
      <c r="H9" s="10" t="s">
        <v>467</v>
      </c>
      <c r="I9" s="10" t="s">
        <v>468</v>
      </c>
      <c r="J9" s="12" t="s">
        <v>46</v>
      </c>
      <c r="K9" s="10"/>
      <c r="L9" s="10"/>
      <c r="M9" s="10"/>
      <c r="N9" s="10"/>
    </row>
  </sheetData>
  <dataValidations count="1">
    <dataValidation allowBlank="true" errorStyle="stop" operator="between" showDropDown="false" showErrorMessage="false" showInputMessage="false" sqref="J4:J9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469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470</v>
      </c>
      <c r="B4" s="10" t="s">
        <v>471</v>
      </c>
      <c r="C4" s="10" t="s">
        <v>472</v>
      </c>
      <c r="D4" s="10" t="s">
        <v>473</v>
      </c>
      <c r="E4" s="10" t="s">
        <v>474</v>
      </c>
      <c r="F4" s="10" t="s">
        <v>475</v>
      </c>
      <c r="G4" s="10" t="s">
        <v>476</v>
      </c>
      <c r="H4" s="10" t="s">
        <v>477</v>
      </c>
      <c r="I4" s="10" t="s">
        <v>478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479</v>
      </c>
      <c r="B5" s="10" t="s">
        <v>480</v>
      </c>
      <c r="C5" s="10" t="s">
        <v>481</v>
      </c>
      <c r="D5" s="10" t="s">
        <v>482</v>
      </c>
      <c r="E5" s="10" t="s">
        <v>483</v>
      </c>
      <c r="F5" s="10" t="s">
        <v>484</v>
      </c>
      <c r="G5" s="10" t="s">
        <v>485</v>
      </c>
      <c r="H5" s="10" t="s">
        <v>486</v>
      </c>
      <c r="I5" s="10" t="s">
        <v>487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488</v>
      </c>
      <c r="B6" s="10" t="s">
        <v>489</v>
      </c>
      <c r="C6" s="10" t="s">
        <v>490</v>
      </c>
      <c r="D6" s="10" t="s">
        <v>491</v>
      </c>
      <c r="E6" s="10" t="s">
        <v>492</v>
      </c>
      <c r="F6" s="10" t="s">
        <v>493</v>
      </c>
      <c r="G6" s="10" t="s">
        <v>494</v>
      </c>
      <c r="H6" s="10" t="s">
        <v>477</v>
      </c>
      <c r="I6" s="10" t="s">
        <v>495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299</v>
      </c>
      <c r="B7" s="10" t="s">
        <v>496</v>
      </c>
      <c r="C7" s="10" t="s">
        <v>497</v>
      </c>
      <c r="D7" s="10" t="s">
        <v>498</v>
      </c>
      <c r="E7" s="10" t="s">
        <v>499</v>
      </c>
      <c r="F7" s="10" t="s">
        <v>500</v>
      </c>
      <c r="G7" s="10" t="s">
        <v>501</v>
      </c>
      <c r="H7" s="10" t="s">
        <v>502</v>
      </c>
      <c r="I7" s="10" t="s">
        <v>503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230</v>
      </c>
      <c r="B8" s="10" t="s">
        <v>504</v>
      </c>
      <c r="C8" s="10" t="s">
        <v>505</v>
      </c>
      <c r="D8" s="10" t="s">
        <v>506</v>
      </c>
      <c r="E8" s="10" t="s">
        <v>507</v>
      </c>
      <c r="F8" s="10" t="s">
        <v>508</v>
      </c>
      <c r="G8" s="10" t="s">
        <v>509</v>
      </c>
      <c r="H8" s="10" t="s">
        <v>486</v>
      </c>
      <c r="I8" s="10" t="s">
        <v>479</v>
      </c>
      <c r="J8" s="12" t="s">
        <v>46</v>
      </c>
      <c r="K8" s="10"/>
      <c r="L8" s="10"/>
      <c r="M8" s="10"/>
      <c r="N8" s="10"/>
    </row>
    <row r="9" customFormat="false" ht="90" hidden="false" customHeight="true" outlineLevel="0" collapsed="false">
      <c r="A9" s="10" t="s">
        <v>510</v>
      </c>
      <c r="B9" s="10" t="s">
        <v>511</v>
      </c>
      <c r="C9" s="10" t="s">
        <v>512</v>
      </c>
      <c r="D9" s="10" t="s">
        <v>513</v>
      </c>
      <c r="E9" s="10" t="s">
        <v>514</v>
      </c>
      <c r="F9" s="10" t="s">
        <v>515</v>
      </c>
      <c r="G9" s="10" t="s">
        <v>516</v>
      </c>
      <c r="H9" s="10" t="s">
        <v>517</v>
      </c>
      <c r="I9" s="10" t="s">
        <v>518</v>
      </c>
      <c r="J9" s="12" t="s">
        <v>46</v>
      </c>
      <c r="K9" s="10"/>
      <c r="L9" s="10"/>
      <c r="M9" s="10"/>
      <c r="N9" s="10"/>
    </row>
    <row r="10" customFormat="false" ht="90" hidden="false" customHeight="true" outlineLevel="0" collapsed="false">
      <c r="A10" s="10" t="s">
        <v>519</v>
      </c>
      <c r="B10" s="10" t="s">
        <v>480</v>
      </c>
      <c r="C10" s="10" t="s">
        <v>520</v>
      </c>
      <c r="D10" s="10" t="s">
        <v>521</v>
      </c>
      <c r="E10" s="10" t="s">
        <v>522</v>
      </c>
      <c r="F10" s="10" t="s">
        <v>523</v>
      </c>
      <c r="G10" s="10" t="s">
        <v>524</v>
      </c>
      <c r="H10" s="10" t="s">
        <v>525</v>
      </c>
      <c r="I10" s="10" t="s">
        <v>443</v>
      </c>
      <c r="J10" s="12" t="s">
        <v>46</v>
      </c>
      <c r="K10" s="10"/>
      <c r="L10" s="10"/>
      <c r="M10" s="10"/>
      <c r="N10" s="10"/>
    </row>
  </sheetData>
  <dataValidations count="1">
    <dataValidation allowBlank="true" errorStyle="stop" operator="between" showDropDown="false" showErrorMessage="false" showInputMessage="false" sqref="J4:J10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526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527</v>
      </c>
      <c r="B4" s="10" t="s">
        <v>528</v>
      </c>
      <c r="C4" s="10" t="s">
        <v>529</v>
      </c>
      <c r="D4" s="10" t="s">
        <v>530</v>
      </c>
      <c r="E4" s="10" t="s">
        <v>531</v>
      </c>
      <c r="F4" s="10" t="s">
        <v>532</v>
      </c>
      <c r="G4" s="10" t="s">
        <v>533</v>
      </c>
      <c r="H4" s="10" t="s">
        <v>477</v>
      </c>
      <c r="I4" s="10" t="s">
        <v>534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535</v>
      </c>
      <c r="B5" s="10" t="s">
        <v>536</v>
      </c>
      <c r="C5" s="10" t="s">
        <v>537</v>
      </c>
      <c r="D5" s="10" t="s">
        <v>538</v>
      </c>
      <c r="E5" s="10" t="s">
        <v>539</v>
      </c>
      <c r="F5" s="10" t="s">
        <v>540</v>
      </c>
      <c r="G5" s="10" t="s">
        <v>541</v>
      </c>
      <c r="H5" s="10" t="s">
        <v>517</v>
      </c>
      <c r="I5" s="10" t="s">
        <v>542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543</v>
      </c>
      <c r="B6" s="10" t="s">
        <v>544</v>
      </c>
      <c r="C6" s="10" t="s">
        <v>545</v>
      </c>
      <c r="D6" s="10" t="s">
        <v>546</v>
      </c>
      <c r="E6" s="10" t="s">
        <v>547</v>
      </c>
      <c r="F6" s="10" t="s">
        <v>548</v>
      </c>
      <c r="G6" s="10" t="s">
        <v>549</v>
      </c>
      <c r="H6" s="10" t="s">
        <v>550</v>
      </c>
      <c r="I6" s="10" t="s">
        <v>468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551</v>
      </c>
      <c r="B7" s="10" t="s">
        <v>552</v>
      </c>
      <c r="C7" s="10" t="s">
        <v>553</v>
      </c>
      <c r="D7" s="10" t="s">
        <v>554</v>
      </c>
      <c r="E7" s="10" t="s">
        <v>555</v>
      </c>
      <c r="F7" s="10" t="s">
        <v>556</v>
      </c>
      <c r="G7" s="10" t="s">
        <v>557</v>
      </c>
      <c r="H7" s="10" t="s">
        <v>558</v>
      </c>
      <c r="I7" s="10" t="s">
        <v>559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560</v>
      </c>
      <c r="B8" s="10" t="s">
        <v>561</v>
      </c>
      <c r="C8" s="10" t="s">
        <v>562</v>
      </c>
      <c r="D8" s="10" t="s">
        <v>563</v>
      </c>
      <c r="E8" s="10" t="s">
        <v>564</v>
      </c>
      <c r="F8" s="10" t="s">
        <v>565</v>
      </c>
      <c r="G8" s="10" t="s">
        <v>566</v>
      </c>
      <c r="H8" s="10" t="s">
        <v>150</v>
      </c>
      <c r="I8" s="10" t="s">
        <v>551</v>
      </c>
      <c r="J8" s="12" t="s">
        <v>46</v>
      </c>
      <c r="K8" s="10"/>
      <c r="L8" s="10"/>
      <c r="M8" s="10"/>
      <c r="N8" s="10"/>
    </row>
  </sheetData>
  <dataValidations count="1">
    <dataValidation allowBlank="true" errorStyle="stop" operator="between" showDropDown="false" showErrorMessage="false" showInputMessage="false" sqref="J4:J8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567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568</v>
      </c>
      <c r="B4" s="10" t="s">
        <v>569</v>
      </c>
      <c r="C4" s="10" t="s">
        <v>570</v>
      </c>
      <c r="D4" s="10" t="s">
        <v>571</v>
      </c>
      <c r="E4" s="10" t="s">
        <v>572</v>
      </c>
      <c r="F4" s="10" t="s">
        <v>573</v>
      </c>
      <c r="G4" s="10" t="s">
        <v>574</v>
      </c>
      <c r="H4" s="10" t="s">
        <v>229</v>
      </c>
      <c r="I4" s="10" t="s">
        <v>575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576</v>
      </c>
      <c r="B5" s="10" t="s">
        <v>569</v>
      </c>
      <c r="C5" s="10" t="s">
        <v>577</v>
      </c>
      <c r="D5" s="10" t="s">
        <v>578</v>
      </c>
      <c r="E5" s="10" t="s">
        <v>579</v>
      </c>
      <c r="F5" s="10" t="s">
        <v>580</v>
      </c>
      <c r="G5" s="10" t="s">
        <v>581</v>
      </c>
      <c r="H5" s="10" t="s">
        <v>229</v>
      </c>
      <c r="I5" s="10" t="s">
        <v>582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583</v>
      </c>
      <c r="B6" s="10" t="s">
        <v>569</v>
      </c>
      <c r="C6" s="10" t="s">
        <v>584</v>
      </c>
      <c r="D6" s="10" t="s">
        <v>585</v>
      </c>
      <c r="E6" s="10" t="s">
        <v>586</v>
      </c>
      <c r="F6" s="10" t="s">
        <v>587</v>
      </c>
      <c r="G6" s="10" t="s">
        <v>588</v>
      </c>
      <c r="H6" s="10" t="s">
        <v>229</v>
      </c>
      <c r="I6" s="10" t="s">
        <v>589</v>
      </c>
      <c r="J6" s="12" t="s">
        <v>46</v>
      </c>
      <c r="K6" s="10"/>
      <c r="L6" s="10"/>
      <c r="M6" s="10"/>
      <c r="N6" s="10"/>
    </row>
  </sheetData>
  <dataValidations count="1">
    <dataValidation allowBlank="true" errorStyle="stop" operator="between" showDropDown="false" showErrorMessage="false" showInputMessage="false" sqref="J4:J6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5" min="4" style="0" width="45"/>
    <col collapsed="false" customWidth="true" hidden="false" outlineLevel="0" max="7" min="6" style="0" width="38"/>
    <col collapsed="false" customWidth="true" hidden="false" outlineLevel="0" max="8" min="8" style="0" width="22"/>
    <col collapsed="false" customWidth="true" hidden="false" outlineLevel="0" max="10" min="9" style="0" width="16"/>
    <col collapsed="false" customWidth="true" hidden="false" outlineLevel="0" max="12" min="11" style="0" width="3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27.75" hidden="false" customHeight="true" outlineLevel="0" collapsed="false">
      <c r="A1" s="18" t="s">
        <v>590</v>
      </c>
    </row>
    <row r="3" customFormat="false" ht="36" hidden="false" customHeight="true" outlineLevel="0" collapsed="false">
      <c r="A3" s="17" t="s">
        <v>49</v>
      </c>
      <c r="B3" s="17" t="s">
        <v>185</v>
      </c>
      <c r="C3" s="17" t="s">
        <v>186</v>
      </c>
      <c r="D3" s="17" t="s">
        <v>187</v>
      </c>
      <c r="E3" s="17" t="s">
        <v>188</v>
      </c>
      <c r="F3" s="17" t="s">
        <v>52</v>
      </c>
      <c r="G3" s="17" t="s">
        <v>189</v>
      </c>
      <c r="H3" s="17" t="s">
        <v>190</v>
      </c>
      <c r="I3" s="17" t="s">
        <v>191</v>
      </c>
      <c r="J3" s="17" t="s">
        <v>192</v>
      </c>
      <c r="K3" s="17" t="s">
        <v>193</v>
      </c>
      <c r="L3" s="17" t="s">
        <v>194</v>
      </c>
      <c r="M3" s="17" t="s">
        <v>195</v>
      </c>
      <c r="N3" s="17" t="s">
        <v>196</v>
      </c>
    </row>
    <row r="4" customFormat="false" ht="90" hidden="false" customHeight="true" outlineLevel="0" collapsed="false">
      <c r="A4" s="10" t="s">
        <v>591</v>
      </c>
      <c r="B4" s="10" t="s">
        <v>592</v>
      </c>
      <c r="C4" s="10" t="s">
        <v>593</v>
      </c>
      <c r="D4" s="10" t="s">
        <v>594</v>
      </c>
      <c r="E4" s="10" t="s">
        <v>595</v>
      </c>
      <c r="F4" s="10" t="s">
        <v>596</v>
      </c>
      <c r="G4" s="10" t="s">
        <v>597</v>
      </c>
      <c r="H4" s="10" t="s">
        <v>598</v>
      </c>
      <c r="I4" s="10" t="s">
        <v>197</v>
      </c>
      <c r="J4" s="12" t="s">
        <v>46</v>
      </c>
      <c r="K4" s="10"/>
      <c r="L4" s="10"/>
      <c r="M4" s="10"/>
      <c r="N4" s="10"/>
    </row>
    <row r="5" customFormat="false" ht="90" hidden="false" customHeight="true" outlineLevel="0" collapsed="false">
      <c r="A5" s="10" t="s">
        <v>599</v>
      </c>
      <c r="B5" s="10" t="s">
        <v>592</v>
      </c>
      <c r="C5" s="10" t="s">
        <v>600</v>
      </c>
      <c r="D5" s="10" t="s">
        <v>601</v>
      </c>
      <c r="E5" s="10" t="s">
        <v>602</v>
      </c>
      <c r="F5" s="10" t="s">
        <v>603</v>
      </c>
      <c r="G5" s="10" t="s">
        <v>604</v>
      </c>
      <c r="H5" s="10" t="s">
        <v>229</v>
      </c>
      <c r="I5" s="10" t="s">
        <v>605</v>
      </c>
      <c r="J5" s="12" t="s">
        <v>46</v>
      </c>
      <c r="K5" s="10"/>
      <c r="L5" s="10"/>
      <c r="M5" s="10"/>
      <c r="N5" s="10"/>
    </row>
    <row r="6" customFormat="false" ht="90" hidden="false" customHeight="true" outlineLevel="0" collapsed="false">
      <c r="A6" s="10" t="s">
        <v>606</v>
      </c>
      <c r="B6" s="10" t="s">
        <v>592</v>
      </c>
      <c r="C6" s="10" t="s">
        <v>607</v>
      </c>
      <c r="D6" s="10" t="s">
        <v>608</v>
      </c>
      <c r="E6" s="10" t="s">
        <v>609</v>
      </c>
      <c r="F6" s="10" t="s">
        <v>610</v>
      </c>
      <c r="G6" s="10" t="s">
        <v>611</v>
      </c>
      <c r="H6" s="10" t="s">
        <v>144</v>
      </c>
      <c r="I6" s="10" t="s">
        <v>612</v>
      </c>
      <c r="J6" s="12" t="s">
        <v>46</v>
      </c>
      <c r="K6" s="10"/>
      <c r="L6" s="10"/>
      <c r="M6" s="10"/>
      <c r="N6" s="10"/>
    </row>
    <row r="7" customFormat="false" ht="90" hidden="false" customHeight="true" outlineLevel="0" collapsed="false">
      <c r="A7" s="10" t="s">
        <v>613</v>
      </c>
      <c r="B7" s="10" t="s">
        <v>592</v>
      </c>
      <c r="C7" s="10" t="s">
        <v>614</v>
      </c>
      <c r="D7" s="10" t="s">
        <v>615</v>
      </c>
      <c r="E7" s="10" t="s">
        <v>616</v>
      </c>
      <c r="F7" s="10" t="s">
        <v>617</v>
      </c>
      <c r="G7" s="10" t="s">
        <v>618</v>
      </c>
      <c r="H7" s="10" t="s">
        <v>477</v>
      </c>
      <c r="I7" s="10" t="s">
        <v>619</v>
      </c>
      <c r="J7" s="12" t="s">
        <v>46</v>
      </c>
      <c r="K7" s="10"/>
      <c r="L7" s="10"/>
      <c r="M7" s="10"/>
      <c r="N7" s="10"/>
    </row>
    <row r="8" customFormat="false" ht="90" hidden="false" customHeight="true" outlineLevel="0" collapsed="false">
      <c r="A8" s="10" t="s">
        <v>620</v>
      </c>
      <c r="B8" s="10" t="s">
        <v>592</v>
      </c>
      <c r="C8" s="10" t="s">
        <v>621</v>
      </c>
      <c r="D8" s="10" t="s">
        <v>622</v>
      </c>
      <c r="E8" s="10" t="s">
        <v>623</v>
      </c>
      <c r="F8" s="10" t="s">
        <v>624</v>
      </c>
      <c r="G8" s="10" t="s">
        <v>625</v>
      </c>
      <c r="H8" s="10" t="s">
        <v>626</v>
      </c>
      <c r="I8" s="10" t="s">
        <v>197</v>
      </c>
      <c r="J8" s="12" t="s">
        <v>46</v>
      </c>
      <c r="K8" s="10"/>
      <c r="L8" s="10"/>
      <c r="M8" s="10"/>
      <c r="N8" s="10"/>
    </row>
  </sheetData>
  <dataValidations count="1">
    <dataValidation allowBlank="true" errorStyle="stop" operator="between" showDropDown="false" showErrorMessage="false" showInputMessage="false" sqref="J4:J8" type="list">
      <formula1>"Confirmed OK,Correction,Clarification,Enhancement,Objection,N/A,Pending"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627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628</v>
      </c>
      <c r="B4" s="10" t="s">
        <v>629</v>
      </c>
      <c r="C4" s="10" t="s">
        <v>630</v>
      </c>
      <c r="D4" s="10" t="s">
        <v>631</v>
      </c>
      <c r="E4" s="10" t="s">
        <v>632</v>
      </c>
      <c r="F4" s="10" t="s">
        <v>517</v>
      </c>
      <c r="G4" s="12" t="s">
        <v>46</v>
      </c>
      <c r="H4" s="10"/>
    </row>
    <row r="5" customFormat="false" ht="72" hidden="false" customHeight="true" outlineLevel="0" collapsed="false">
      <c r="A5" s="10" t="s">
        <v>633</v>
      </c>
      <c r="B5" s="10" t="s">
        <v>634</v>
      </c>
      <c r="C5" s="10" t="s">
        <v>635</v>
      </c>
      <c r="D5" s="10" t="s">
        <v>636</v>
      </c>
      <c r="E5" s="10" t="s">
        <v>637</v>
      </c>
      <c r="F5" s="10" t="s">
        <v>172</v>
      </c>
      <c r="G5" s="12" t="s">
        <v>46</v>
      </c>
      <c r="H5" s="10"/>
    </row>
    <row r="6" customFormat="false" ht="72" hidden="false" customHeight="true" outlineLevel="0" collapsed="false">
      <c r="A6" s="10" t="s">
        <v>638</v>
      </c>
      <c r="B6" s="10" t="s">
        <v>639</v>
      </c>
      <c r="C6" s="10" t="s">
        <v>640</v>
      </c>
      <c r="D6" s="10" t="s">
        <v>641</v>
      </c>
      <c r="E6" s="10" t="s">
        <v>642</v>
      </c>
      <c r="F6" s="10" t="s">
        <v>643</v>
      </c>
      <c r="G6" s="12" t="s">
        <v>46</v>
      </c>
      <c r="H6" s="10"/>
    </row>
    <row r="7" customFormat="false" ht="72" hidden="false" customHeight="true" outlineLevel="0" collapsed="false">
      <c r="A7" s="10" t="s">
        <v>644</v>
      </c>
      <c r="B7" s="10" t="s">
        <v>645</v>
      </c>
      <c r="C7" s="10" t="s">
        <v>646</v>
      </c>
      <c r="D7" s="10" t="s">
        <v>647</v>
      </c>
      <c r="E7" s="10" t="s">
        <v>648</v>
      </c>
      <c r="F7" s="10" t="s">
        <v>525</v>
      </c>
      <c r="G7" s="12" t="s">
        <v>46</v>
      </c>
      <c r="H7" s="10"/>
    </row>
    <row r="8" customFormat="false" ht="72" hidden="false" customHeight="true" outlineLevel="0" collapsed="false">
      <c r="A8" s="10" t="s">
        <v>649</v>
      </c>
      <c r="B8" s="10" t="s">
        <v>650</v>
      </c>
      <c r="C8" s="10" t="s">
        <v>651</v>
      </c>
      <c r="D8" s="10" t="s">
        <v>652</v>
      </c>
      <c r="E8" s="10" t="s">
        <v>653</v>
      </c>
      <c r="F8" s="10" t="s">
        <v>183</v>
      </c>
      <c r="G8" s="12" t="s">
        <v>46</v>
      </c>
      <c r="H8" s="10"/>
    </row>
    <row r="9" customFormat="false" ht="72" hidden="false" customHeight="true" outlineLevel="0" collapsed="false">
      <c r="A9" s="10" t="s">
        <v>654</v>
      </c>
      <c r="B9" s="10" t="s">
        <v>655</v>
      </c>
      <c r="C9" s="10" t="s">
        <v>656</v>
      </c>
      <c r="D9" s="10" t="s">
        <v>657</v>
      </c>
      <c r="E9" s="10" t="s">
        <v>658</v>
      </c>
      <c r="F9" s="10" t="s">
        <v>659</v>
      </c>
      <c r="G9" s="12" t="s">
        <v>46</v>
      </c>
      <c r="H9" s="10"/>
    </row>
    <row r="10" customFormat="false" ht="72" hidden="false" customHeight="true" outlineLevel="0" collapsed="false">
      <c r="A10" s="10" t="s">
        <v>408</v>
      </c>
      <c r="B10" s="10" t="s">
        <v>660</v>
      </c>
      <c r="C10" s="10" t="s">
        <v>661</v>
      </c>
      <c r="D10" s="10" t="s">
        <v>662</v>
      </c>
      <c r="E10" s="10" t="s">
        <v>663</v>
      </c>
      <c r="F10" s="10" t="s">
        <v>664</v>
      </c>
      <c r="G10" s="12" t="s">
        <v>46</v>
      </c>
      <c r="H10" s="10"/>
    </row>
    <row r="11" customFormat="false" ht="72" hidden="false" customHeight="true" outlineLevel="0" collapsed="false">
      <c r="A11" s="10" t="s">
        <v>665</v>
      </c>
      <c r="B11" s="10" t="s">
        <v>666</v>
      </c>
      <c r="C11" s="10" t="s">
        <v>667</v>
      </c>
      <c r="D11" s="10" t="s">
        <v>668</v>
      </c>
      <c r="E11" s="10" t="s">
        <v>669</v>
      </c>
      <c r="F11" s="10" t="s">
        <v>670</v>
      </c>
      <c r="G11" s="12" t="s">
        <v>46</v>
      </c>
      <c r="H11" s="10"/>
    </row>
    <row r="12" customFormat="false" ht="72" hidden="false" customHeight="true" outlineLevel="0" collapsed="false">
      <c r="A12" s="10" t="s">
        <v>542</v>
      </c>
      <c r="B12" s="10" t="s">
        <v>671</v>
      </c>
      <c r="C12" s="10" t="s">
        <v>672</v>
      </c>
      <c r="D12" s="10" t="s">
        <v>673</v>
      </c>
      <c r="E12" s="10" t="s">
        <v>674</v>
      </c>
      <c r="F12" s="10" t="s">
        <v>675</v>
      </c>
      <c r="G12" s="12" t="s">
        <v>46</v>
      </c>
      <c r="H12" s="10"/>
    </row>
    <row r="13" customFormat="false" ht="72" hidden="false" customHeight="true" outlineLevel="0" collapsed="false">
      <c r="A13" s="10" t="s">
        <v>676</v>
      </c>
      <c r="B13" s="10" t="s">
        <v>677</v>
      </c>
      <c r="C13" s="10" t="s">
        <v>678</v>
      </c>
      <c r="D13" s="10" t="s">
        <v>679</v>
      </c>
      <c r="E13" s="10" t="s">
        <v>680</v>
      </c>
      <c r="F13" s="10" t="s">
        <v>681</v>
      </c>
      <c r="G13" s="12" t="s">
        <v>46</v>
      </c>
      <c r="H13" s="10"/>
    </row>
  </sheetData>
  <dataValidations count="1">
    <dataValidation allowBlank="true" errorStyle="stop" operator="between" showDropDown="false" showErrorMessage="false" showInputMessage="false" sqref="G4:G13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682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683</v>
      </c>
      <c r="B4" s="10" t="s">
        <v>684</v>
      </c>
      <c r="C4" s="10" t="s">
        <v>685</v>
      </c>
      <c r="D4" s="10" t="s">
        <v>686</v>
      </c>
      <c r="E4" s="10" t="s">
        <v>687</v>
      </c>
      <c r="F4" s="10" t="s">
        <v>681</v>
      </c>
      <c r="G4" s="12" t="s">
        <v>46</v>
      </c>
      <c r="H4" s="10"/>
    </row>
    <row r="5" customFormat="false" ht="72" hidden="false" customHeight="true" outlineLevel="0" collapsed="false">
      <c r="A5" s="10" t="s">
        <v>688</v>
      </c>
      <c r="B5" s="10" t="s">
        <v>689</v>
      </c>
      <c r="C5" s="10" t="s">
        <v>690</v>
      </c>
      <c r="D5" s="10" t="s">
        <v>691</v>
      </c>
      <c r="E5" s="10" t="s">
        <v>692</v>
      </c>
      <c r="F5" s="10" t="s">
        <v>693</v>
      </c>
      <c r="G5" s="12" t="s">
        <v>46</v>
      </c>
      <c r="H5" s="10"/>
    </row>
    <row r="6" customFormat="false" ht="72" hidden="false" customHeight="true" outlineLevel="0" collapsed="false">
      <c r="A6" s="10" t="s">
        <v>694</v>
      </c>
      <c r="B6" s="10" t="s">
        <v>695</v>
      </c>
      <c r="C6" s="10" t="s">
        <v>696</v>
      </c>
      <c r="D6" s="10" t="s">
        <v>697</v>
      </c>
      <c r="E6" s="10" t="s">
        <v>698</v>
      </c>
      <c r="F6" s="10" t="s">
        <v>699</v>
      </c>
      <c r="G6" s="12" t="s">
        <v>46</v>
      </c>
      <c r="H6" s="10"/>
    </row>
    <row r="7" customFormat="false" ht="72" hidden="false" customHeight="true" outlineLevel="0" collapsed="false">
      <c r="A7" s="10" t="s">
        <v>700</v>
      </c>
      <c r="B7" s="10" t="s">
        <v>701</v>
      </c>
      <c r="C7" s="10" t="s">
        <v>702</v>
      </c>
      <c r="D7" s="10" t="s">
        <v>703</v>
      </c>
      <c r="E7" s="10" t="s">
        <v>704</v>
      </c>
      <c r="F7" s="10" t="s">
        <v>705</v>
      </c>
      <c r="G7" s="12" t="s">
        <v>46</v>
      </c>
      <c r="H7" s="10"/>
    </row>
    <row r="8" customFormat="false" ht="72" hidden="false" customHeight="true" outlineLevel="0" collapsed="false">
      <c r="A8" s="10" t="s">
        <v>706</v>
      </c>
      <c r="B8" s="10" t="s">
        <v>707</v>
      </c>
      <c r="C8" s="10" t="s">
        <v>708</v>
      </c>
      <c r="D8" s="10" t="s">
        <v>709</v>
      </c>
      <c r="E8" s="10" t="s">
        <v>710</v>
      </c>
      <c r="F8" s="10" t="s">
        <v>711</v>
      </c>
      <c r="G8" s="12" t="s">
        <v>46</v>
      </c>
      <c r="H8" s="10"/>
    </row>
    <row r="9" customFormat="false" ht="72" hidden="false" customHeight="true" outlineLevel="0" collapsed="false">
      <c r="A9" s="10" t="s">
        <v>712</v>
      </c>
      <c r="B9" s="10" t="s">
        <v>713</v>
      </c>
      <c r="C9" s="10" t="s">
        <v>714</v>
      </c>
      <c r="D9" s="10" t="s">
        <v>715</v>
      </c>
      <c r="E9" s="10" t="s">
        <v>716</v>
      </c>
      <c r="F9" s="10" t="s">
        <v>717</v>
      </c>
      <c r="G9" s="12" t="s">
        <v>46</v>
      </c>
      <c r="H9" s="10"/>
    </row>
  </sheetData>
  <dataValidations count="1">
    <dataValidation allowBlank="true" errorStyle="stop" operator="between" showDropDown="false" showErrorMessage="false" showInputMessage="false" sqref="G4:G9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718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239</v>
      </c>
      <c r="B4" s="10" t="s">
        <v>719</v>
      </c>
      <c r="C4" s="10" t="s">
        <v>720</v>
      </c>
      <c r="D4" s="10" t="s">
        <v>721</v>
      </c>
      <c r="E4" s="10" t="s">
        <v>722</v>
      </c>
      <c r="F4" s="10" t="s">
        <v>723</v>
      </c>
      <c r="G4" s="12" t="s">
        <v>46</v>
      </c>
      <c r="H4" s="10"/>
    </row>
    <row r="5" customFormat="false" ht="72" hidden="false" customHeight="true" outlineLevel="0" collapsed="false">
      <c r="A5" s="10" t="s">
        <v>724</v>
      </c>
      <c r="B5" s="10" t="s">
        <v>725</v>
      </c>
      <c r="C5" s="10" t="s">
        <v>726</v>
      </c>
      <c r="D5" s="10" t="s">
        <v>727</v>
      </c>
      <c r="E5" s="10" t="s">
        <v>728</v>
      </c>
      <c r="F5" s="10" t="s">
        <v>723</v>
      </c>
      <c r="G5" s="12" t="s">
        <v>46</v>
      </c>
      <c r="H5" s="10"/>
    </row>
    <row r="6" customFormat="false" ht="72" hidden="false" customHeight="true" outlineLevel="0" collapsed="false">
      <c r="A6" s="10" t="s">
        <v>729</v>
      </c>
      <c r="B6" s="10" t="s">
        <v>730</v>
      </c>
      <c r="C6" s="10" t="s">
        <v>731</v>
      </c>
      <c r="D6" s="10" t="s">
        <v>732</v>
      </c>
      <c r="E6" s="10" t="s">
        <v>733</v>
      </c>
      <c r="F6" s="10" t="s">
        <v>723</v>
      </c>
      <c r="G6" s="12" t="s">
        <v>46</v>
      </c>
      <c r="H6" s="10"/>
    </row>
    <row r="7" customFormat="false" ht="72" hidden="false" customHeight="true" outlineLevel="0" collapsed="false">
      <c r="A7" s="10" t="s">
        <v>734</v>
      </c>
      <c r="B7" s="10" t="s">
        <v>735</v>
      </c>
      <c r="C7" s="10" t="s">
        <v>736</v>
      </c>
      <c r="D7" s="10" t="s">
        <v>737</v>
      </c>
      <c r="E7" s="10" t="s">
        <v>738</v>
      </c>
      <c r="F7" s="10" t="s">
        <v>723</v>
      </c>
      <c r="G7" s="12" t="s">
        <v>46</v>
      </c>
      <c r="H7" s="10"/>
    </row>
    <row r="8" customFormat="false" ht="72" hidden="false" customHeight="true" outlineLevel="0" collapsed="false">
      <c r="A8" s="10" t="s">
        <v>739</v>
      </c>
      <c r="B8" s="10" t="s">
        <v>740</v>
      </c>
      <c r="C8" s="10" t="s">
        <v>741</v>
      </c>
      <c r="D8" s="10" t="s">
        <v>742</v>
      </c>
      <c r="E8" s="10" t="s">
        <v>743</v>
      </c>
      <c r="F8" s="10" t="s">
        <v>723</v>
      </c>
      <c r="G8" s="12" t="s">
        <v>46</v>
      </c>
      <c r="H8" s="10"/>
    </row>
    <row r="9" customFormat="false" ht="72" hidden="false" customHeight="true" outlineLevel="0" collapsed="false">
      <c r="A9" s="10" t="s">
        <v>744</v>
      </c>
      <c r="B9" s="10" t="s">
        <v>745</v>
      </c>
      <c r="C9" s="10" t="s">
        <v>746</v>
      </c>
      <c r="D9" s="10" t="s">
        <v>747</v>
      </c>
      <c r="E9" s="10" t="s">
        <v>748</v>
      </c>
      <c r="F9" s="10" t="s">
        <v>723</v>
      </c>
      <c r="G9" s="12" t="s">
        <v>46</v>
      </c>
      <c r="H9" s="10"/>
    </row>
    <row r="10" customFormat="false" ht="72" hidden="false" customHeight="true" outlineLevel="0" collapsed="false">
      <c r="A10" s="10" t="s">
        <v>749</v>
      </c>
      <c r="B10" s="10" t="s">
        <v>750</v>
      </c>
      <c r="C10" s="10" t="s">
        <v>751</v>
      </c>
      <c r="D10" s="10" t="s">
        <v>752</v>
      </c>
      <c r="E10" s="10" t="s">
        <v>753</v>
      </c>
      <c r="F10" s="10" t="s">
        <v>723</v>
      </c>
      <c r="G10" s="12" t="s">
        <v>46</v>
      </c>
      <c r="H10" s="10"/>
    </row>
    <row r="11" customFormat="false" ht="72" hidden="false" customHeight="true" outlineLevel="0" collapsed="false">
      <c r="A11" s="10" t="s">
        <v>754</v>
      </c>
      <c r="B11" s="10" t="s">
        <v>755</v>
      </c>
      <c r="C11" s="10" t="s">
        <v>756</v>
      </c>
      <c r="D11" s="10" t="s">
        <v>757</v>
      </c>
      <c r="E11" s="10" t="s">
        <v>758</v>
      </c>
      <c r="F11" s="10" t="s">
        <v>723</v>
      </c>
      <c r="G11" s="12" t="s">
        <v>46</v>
      </c>
      <c r="H11" s="10"/>
    </row>
    <row r="12" customFormat="false" ht="72" hidden="false" customHeight="true" outlineLevel="0" collapsed="false">
      <c r="A12" s="10" t="s">
        <v>759</v>
      </c>
      <c r="B12" s="10" t="s">
        <v>760</v>
      </c>
      <c r="C12" s="10" t="s">
        <v>761</v>
      </c>
      <c r="D12" s="10" t="s">
        <v>762</v>
      </c>
      <c r="E12" s="10" t="s">
        <v>763</v>
      </c>
      <c r="F12" s="10" t="s">
        <v>723</v>
      </c>
      <c r="G12" s="12" t="s">
        <v>46</v>
      </c>
      <c r="H12" s="10"/>
    </row>
    <row r="13" customFormat="false" ht="72" hidden="false" customHeight="true" outlineLevel="0" collapsed="false">
      <c r="A13" s="10" t="s">
        <v>764</v>
      </c>
      <c r="B13" s="10" t="s">
        <v>765</v>
      </c>
      <c r="C13" s="10" t="s">
        <v>766</v>
      </c>
      <c r="D13" s="10" t="s">
        <v>767</v>
      </c>
      <c r="E13" s="10" t="s">
        <v>768</v>
      </c>
      <c r="F13" s="10" t="s">
        <v>62</v>
      </c>
      <c r="G13" s="12" t="s">
        <v>46</v>
      </c>
      <c r="H13" s="10"/>
    </row>
  </sheetData>
  <dataValidations count="1">
    <dataValidation allowBlank="true" errorStyle="stop" operator="between" showDropDown="false" showErrorMessage="false" showInputMessage="false" sqref="G4:G13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769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770</v>
      </c>
      <c r="B4" s="10" t="s">
        <v>771</v>
      </c>
      <c r="C4" s="10" t="s">
        <v>772</v>
      </c>
      <c r="D4" s="10" t="s">
        <v>773</v>
      </c>
      <c r="E4" s="10" t="s">
        <v>774</v>
      </c>
      <c r="F4" s="10" t="s">
        <v>229</v>
      </c>
      <c r="G4" s="12" t="s">
        <v>46</v>
      </c>
      <c r="H4" s="10"/>
    </row>
    <row r="5" customFormat="false" ht="72" hidden="false" customHeight="true" outlineLevel="0" collapsed="false">
      <c r="A5" s="10" t="s">
        <v>775</v>
      </c>
      <c r="B5" s="10" t="s">
        <v>776</v>
      </c>
      <c r="C5" s="10" t="s">
        <v>777</v>
      </c>
      <c r="D5" s="10" t="s">
        <v>778</v>
      </c>
      <c r="E5" s="10" t="s">
        <v>779</v>
      </c>
      <c r="F5" s="10" t="s">
        <v>229</v>
      </c>
      <c r="G5" s="12" t="s">
        <v>46</v>
      </c>
      <c r="H5" s="10"/>
    </row>
    <row r="6" customFormat="false" ht="72" hidden="false" customHeight="true" outlineLevel="0" collapsed="false">
      <c r="A6" s="10" t="s">
        <v>780</v>
      </c>
      <c r="B6" s="10" t="s">
        <v>781</v>
      </c>
      <c r="C6" s="10" t="s">
        <v>782</v>
      </c>
      <c r="D6" s="10" t="s">
        <v>783</v>
      </c>
      <c r="E6" s="10" t="s">
        <v>784</v>
      </c>
      <c r="F6" s="10" t="s">
        <v>517</v>
      </c>
      <c r="G6" s="12" t="s">
        <v>46</v>
      </c>
      <c r="H6" s="10"/>
    </row>
    <row r="7" customFormat="false" ht="72" hidden="false" customHeight="true" outlineLevel="0" collapsed="false">
      <c r="A7" s="10" t="s">
        <v>785</v>
      </c>
      <c r="B7" s="10" t="s">
        <v>786</v>
      </c>
      <c r="C7" s="10" t="s">
        <v>787</v>
      </c>
      <c r="D7" s="10" t="s">
        <v>788</v>
      </c>
      <c r="E7" s="10" t="s">
        <v>789</v>
      </c>
      <c r="F7" s="10" t="s">
        <v>790</v>
      </c>
      <c r="G7" s="12" t="s">
        <v>46</v>
      </c>
      <c r="H7" s="10"/>
    </row>
    <row r="8" customFormat="false" ht="72" hidden="false" customHeight="true" outlineLevel="0" collapsed="false">
      <c r="A8" s="10" t="s">
        <v>791</v>
      </c>
      <c r="B8" s="10" t="s">
        <v>792</v>
      </c>
      <c r="C8" s="10" t="s">
        <v>793</v>
      </c>
      <c r="D8" s="10" t="s">
        <v>794</v>
      </c>
      <c r="E8" s="10" t="s">
        <v>795</v>
      </c>
      <c r="F8" s="10" t="s">
        <v>517</v>
      </c>
      <c r="G8" s="12" t="s">
        <v>46</v>
      </c>
      <c r="H8" s="10"/>
    </row>
    <row r="9" customFormat="false" ht="72" hidden="false" customHeight="true" outlineLevel="0" collapsed="false">
      <c r="A9" s="10" t="s">
        <v>796</v>
      </c>
      <c r="B9" s="10" t="s">
        <v>797</v>
      </c>
      <c r="C9" s="10" t="s">
        <v>798</v>
      </c>
      <c r="D9" s="10" t="s">
        <v>799</v>
      </c>
      <c r="E9" s="10" t="s">
        <v>800</v>
      </c>
      <c r="F9" s="10" t="s">
        <v>801</v>
      </c>
      <c r="G9" s="12" t="s">
        <v>46</v>
      </c>
      <c r="H9" s="10"/>
    </row>
    <row r="10" customFormat="false" ht="72" hidden="false" customHeight="true" outlineLevel="0" collapsed="false">
      <c r="A10" s="10" t="s">
        <v>802</v>
      </c>
      <c r="B10" s="10" t="s">
        <v>803</v>
      </c>
      <c r="C10" s="10" t="s">
        <v>804</v>
      </c>
      <c r="D10" s="10" t="s">
        <v>805</v>
      </c>
      <c r="E10" s="10" t="s">
        <v>806</v>
      </c>
      <c r="F10" s="10" t="s">
        <v>229</v>
      </c>
      <c r="G10" s="12" t="s">
        <v>46</v>
      </c>
      <c r="H10" s="10"/>
    </row>
    <row r="11" customFormat="false" ht="72" hidden="false" customHeight="true" outlineLevel="0" collapsed="false">
      <c r="A11" s="10" t="s">
        <v>807</v>
      </c>
      <c r="B11" s="10" t="s">
        <v>808</v>
      </c>
      <c r="C11" s="10" t="s">
        <v>809</v>
      </c>
      <c r="D11" s="10" t="s">
        <v>810</v>
      </c>
      <c r="E11" s="10" t="s">
        <v>811</v>
      </c>
      <c r="F11" s="10" t="s">
        <v>812</v>
      </c>
      <c r="G11" s="12" t="s">
        <v>46</v>
      </c>
      <c r="H11" s="10"/>
    </row>
    <row r="12" customFormat="false" ht="72" hidden="false" customHeight="true" outlineLevel="0" collapsed="false">
      <c r="A12" s="10" t="s">
        <v>247</v>
      </c>
      <c r="B12" s="10" t="s">
        <v>813</v>
      </c>
      <c r="C12" s="10" t="s">
        <v>814</v>
      </c>
      <c r="D12" s="10" t="s">
        <v>815</v>
      </c>
      <c r="E12" s="10" t="s">
        <v>816</v>
      </c>
      <c r="F12" s="10" t="s">
        <v>144</v>
      </c>
      <c r="G12" s="12" t="s">
        <v>46</v>
      </c>
      <c r="H12" s="10"/>
    </row>
    <row r="13" customFormat="false" ht="72" hidden="false" customHeight="true" outlineLevel="0" collapsed="false">
      <c r="A13" s="10" t="s">
        <v>468</v>
      </c>
      <c r="B13" s="10" t="s">
        <v>817</v>
      </c>
      <c r="C13" s="10" t="s">
        <v>818</v>
      </c>
      <c r="D13" s="10" t="s">
        <v>819</v>
      </c>
      <c r="E13" s="10" t="s">
        <v>820</v>
      </c>
      <c r="F13" s="10" t="s">
        <v>821</v>
      </c>
      <c r="G13" s="12" t="s">
        <v>46</v>
      </c>
      <c r="H13" s="10"/>
    </row>
    <row r="14" customFormat="false" ht="72" hidden="false" customHeight="true" outlineLevel="0" collapsed="false">
      <c r="A14" s="10" t="s">
        <v>822</v>
      </c>
      <c r="B14" s="10" t="s">
        <v>823</v>
      </c>
      <c r="C14" s="10" t="s">
        <v>824</v>
      </c>
      <c r="D14" s="10" t="s">
        <v>825</v>
      </c>
      <c r="E14" s="10" t="s">
        <v>826</v>
      </c>
      <c r="F14" s="10" t="s">
        <v>229</v>
      </c>
      <c r="G14" s="12" t="s">
        <v>46</v>
      </c>
      <c r="H14" s="10"/>
    </row>
    <row r="15" customFormat="false" ht="72" hidden="false" customHeight="true" outlineLevel="0" collapsed="false">
      <c r="A15" s="10" t="s">
        <v>827</v>
      </c>
      <c r="B15" s="10" t="s">
        <v>828</v>
      </c>
      <c r="C15" s="10" t="s">
        <v>829</v>
      </c>
      <c r="D15" s="10" t="s">
        <v>830</v>
      </c>
      <c r="E15" s="10" t="s">
        <v>831</v>
      </c>
      <c r="F15" s="10" t="s">
        <v>229</v>
      </c>
      <c r="G15" s="12" t="s">
        <v>46</v>
      </c>
      <c r="H15" s="10"/>
    </row>
  </sheetData>
  <dataValidations count="1">
    <dataValidation allowBlank="true" errorStyle="stop" operator="between" showDropDown="false" showErrorMessage="false" showInputMessage="false" sqref="G4:G15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832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833</v>
      </c>
      <c r="B4" s="10" t="s">
        <v>834</v>
      </c>
      <c r="C4" s="10" t="s">
        <v>835</v>
      </c>
      <c r="D4" s="10" t="s">
        <v>836</v>
      </c>
      <c r="E4" s="10" t="s">
        <v>837</v>
      </c>
      <c r="F4" s="10" t="s">
        <v>79</v>
      </c>
      <c r="G4" s="12" t="s">
        <v>46</v>
      </c>
      <c r="H4" s="10"/>
    </row>
    <row r="5" customFormat="false" ht="72" hidden="false" customHeight="true" outlineLevel="0" collapsed="false">
      <c r="A5" s="10" t="s">
        <v>838</v>
      </c>
      <c r="B5" s="10" t="s">
        <v>839</v>
      </c>
      <c r="C5" s="10" t="s">
        <v>840</v>
      </c>
      <c r="D5" s="10" t="s">
        <v>841</v>
      </c>
      <c r="E5" s="10" t="s">
        <v>842</v>
      </c>
      <c r="F5" s="10" t="s">
        <v>62</v>
      </c>
      <c r="G5" s="12" t="s">
        <v>46</v>
      </c>
      <c r="H5" s="10"/>
    </row>
    <row r="6" customFormat="false" ht="72" hidden="false" customHeight="true" outlineLevel="0" collapsed="false">
      <c r="A6" s="10" t="s">
        <v>843</v>
      </c>
      <c r="B6" s="10" t="s">
        <v>844</v>
      </c>
      <c r="C6" s="10" t="s">
        <v>845</v>
      </c>
      <c r="D6" s="10" t="s">
        <v>846</v>
      </c>
      <c r="E6" s="10" t="s">
        <v>847</v>
      </c>
      <c r="F6" s="10" t="s">
        <v>62</v>
      </c>
      <c r="G6" s="12" t="s">
        <v>46</v>
      </c>
      <c r="H6" s="10"/>
    </row>
    <row r="7" customFormat="false" ht="72" hidden="false" customHeight="true" outlineLevel="0" collapsed="false">
      <c r="A7" s="10" t="s">
        <v>848</v>
      </c>
      <c r="B7" s="10" t="s">
        <v>849</v>
      </c>
      <c r="C7" s="10" t="s">
        <v>850</v>
      </c>
      <c r="D7" s="10" t="s">
        <v>851</v>
      </c>
      <c r="E7" s="10" t="s">
        <v>852</v>
      </c>
      <c r="F7" s="10" t="s">
        <v>79</v>
      </c>
      <c r="G7" s="12" t="s">
        <v>46</v>
      </c>
      <c r="H7" s="10"/>
    </row>
    <row r="8" customFormat="false" ht="72" hidden="false" customHeight="true" outlineLevel="0" collapsed="false">
      <c r="A8" s="10" t="s">
        <v>853</v>
      </c>
      <c r="B8" s="10" t="s">
        <v>854</v>
      </c>
      <c r="C8" s="10" t="s">
        <v>855</v>
      </c>
      <c r="D8" s="10" t="s">
        <v>856</v>
      </c>
      <c r="E8" s="10" t="s">
        <v>857</v>
      </c>
      <c r="F8" s="10" t="s">
        <v>229</v>
      </c>
      <c r="G8" s="12" t="s">
        <v>46</v>
      </c>
      <c r="H8" s="10"/>
    </row>
  </sheetData>
  <dataValidations count="1">
    <dataValidation allowBlank="true" errorStyle="stop" operator="between" showDropDown="false" showErrorMessage="false" showInputMessage="false" sqref="G4:G8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50"/>
    <col collapsed="false" customWidth="true" hidden="false" outlineLevel="0" max="5" min="4" style="0" width="3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5" t="s">
        <v>858</v>
      </c>
    </row>
    <row r="3" customFormat="false" ht="36" hidden="false" customHeight="true" outlineLevel="0" collapsed="false">
      <c r="A3" s="17" t="s">
        <v>49</v>
      </c>
      <c r="B3" s="17" t="s">
        <v>50</v>
      </c>
      <c r="C3" s="17" t="s">
        <v>51</v>
      </c>
      <c r="D3" s="17" t="s">
        <v>52</v>
      </c>
      <c r="E3" s="17" t="s">
        <v>53</v>
      </c>
      <c r="F3" s="17" t="s">
        <v>54</v>
      </c>
      <c r="G3" s="17" t="s">
        <v>55</v>
      </c>
      <c r="H3" s="17" t="s">
        <v>56</v>
      </c>
    </row>
    <row r="4" customFormat="false" ht="72" hidden="false" customHeight="true" outlineLevel="0" collapsed="false">
      <c r="A4" s="10" t="s">
        <v>859</v>
      </c>
      <c r="B4" s="10" t="s">
        <v>860</v>
      </c>
      <c r="C4" s="10" t="s">
        <v>861</v>
      </c>
      <c r="D4" s="10" t="s">
        <v>862</v>
      </c>
      <c r="E4" s="10" t="s">
        <v>863</v>
      </c>
      <c r="F4" s="10" t="s">
        <v>62</v>
      </c>
      <c r="G4" s="12" t="s">
        <v>46</v>
      </c>
      <c r="H4" s="10"/>
    </row>
    <row r="5" customFormat="false" ht="72" hidden="false" customHeight="true" outlineLevel="0" collapsed="false">
      <c r="A5" s="10" t="s">
        <v>864</v>
      </c>
      <c r="B5" s="10" t="s">
        <v>865</v>
      </c>
      <c r="C5" s="10" t="s">
        <v>866</v>
      </c>
      <c r="D5" s="10" t="s">
        <v>867</v>
      </c>
      <c r="E5" s="10" t="s">
        <v>868</v>
      </c>
      <c r="F5" s="10" t="s">
        <v>62</v>
      </c>
      <c r="G5" s="12" t="s">
        <v>46</v>
      </c>
      <c r="H5" s="10"/>
    </row>
    <row r="6" customFormat="false" ht="72" hidden="false" customHeight="true" outlineLevel="0" collapsed="false">
      <c r="A6" s="10" t="s">
        <v>869</v>
      </c>
      <c r="B6" s="10" t="s">
        <v>870</v>
      </c>
      <c r="C6" s="10" t="s">
        <v>866</v>
      </c>
      <c r="D6" s="10" t="s">
        <v>871</v>
      </c>
      <c r="E6" s="10" t="s">
        <v>872</v>
      </c>
      <c r="F6" s="10" t="s">
        <v>62</v>
      </c>
      <c r="G6" s="12" t="s">
        <v>46</v>
      </c>
      <c r="H6" s="10"/>
    </row>
    <row r="7" customFormat="false" ht="72" hidden="false" customHeight="true" outlineLevel="0" collapsed="false">
      <c r="A7" s="10" t="s">
        <v>873</v>
      </c>
      <c r="B7" s="10" t="s">
        <v>874</v>
      </c>
      <c r="C7" s="10" t="s">
        <v>875</v>
      </c>
      <c r="D7" s="10" t="s">
        <v>876</v>
      </c>
      <c r="E7" s="10" t="s">
        <v>877</v>
      </c>
      <c r="F7" s="10" t="s">
        <v>79</v>
      </c>
      <c r="G7" s="12" t="s">
        <v>46</v>
      </c>
      <c r="H7" s="10"/>
    </row>
    <row r="8" customFormat="false" ht="72" hidden="false" customHeight="true" outlineLevel="0" collapsed="false">
      <c r="A8" s="10" t="s">
        <v>878</v>
      </c>
      <c r="B8" s="10" t="s">
        <v>879</v>
      </c>
      <c r="C8" s="10" t="s">
        <v>880</v>
      </c>
      <c r="D8" s="10" t="s">
        <v>881</v>
      </c>
      <c r="E8" s="10" t="s">
        <v>882</v>
      </c>
      <c r="F8" s="10" t="s">
        <v>79</v>
      </c>
      <c r="G8" s="12" t="s">
        <v>46</v>
      </c>
      <c r="H8" s="10"/>
    </row>
    <row r="9" customFormat="false" ht="72" hidden="false" customHeight="true" outlineLevel="0" collapsed="false">
      <c r="A9" s="10" t="s">
        <v>883</v>
      </c>
      <c r="B9" s="10" t="s">
        <v>884</v>
      </c>
      <c r="C9" s="10" t="s">
        <v>885</v>
      </c>
      <c r="D9" s="10" t="s">
        <v>886</v>
      </c>
      <c r="E9" s="10" t="s">
        <v>887</v>
      </c>
      <c r="F9" s="10" t="s">
        <v>62</v>
      </c>
      <c r="G9" s="12" t="s">
        <v>46</v>
      </c>
      <c r="H9" s="10"/>
    </row>
  </sheetData>
  <dataValidations count="1">
    <dataValidation allowBlank="true" errorStyle="stop" operator="between" showDropDown="false" showErrorMessage="false" showInputMessage="false" sqref="G4:G9" type="list">
      <formula1>"Done,In progress,Pending,Blocked,Failed,N/A"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9" t="s">
        <v>888</v>
      </c>
    </row>
    <row r="3" customFormat="false" ht="16.15" hidden="false" customHeight="false" outlineLevel="0" collapsed="false">
      <c r="A3" s="20" t="s">
        <v>889</v>
      </c>
    </row>
    <row r="5" customFormat="false" ht="26.85" hidden="false" customHeight="false" outlineLevel="0" collapsed="false">
      <c r="A5" s="17" t="s">
        <v>890</v>
      </c>
      <c r="B5" s="17" t="s">
        <v>891</v>
      </c>
      <c r="C5" s="17" t="s">
        <v>892</v>
      </c>
      <c r="D5" s="17" t="s">
        <v>32</v>
      </c>
      <c r="E5" s="17" t="s">
        <v>35</v>
      </c>
      <c r="F5" s="17" t="s">
        <v>38</v>
      </c>
      <c r="G5" s="17" t="s">
        <v>41</v>
      </c>
      <c r="H5" s="17" t="s">
        <v>44</v>
      </c>
      <c r="I5" s="17" t="s">
        <v>46</v>
      </c>
      <c r="J5" s="17" t="s">
        <v>893</v>
      </c>
    </row>
    <row r="6" customFormat="false" ht="15" hidden="false" customHeight="false" outlineLevel="0" collapsed="false">
      <c r="A6" s="21" t="s">
        <v>894</v>
      </c>
      <c r="B6" s="10" t="n">
        <v>7</v>
      </c>
      <c r="C6" s="10" t="n">
        <f aca="false">COUNTIF('B Business'!J4:J10,"Confirmed OK")</f>
        <v>0</v>
      </c>
      <c r="D6" s="10" t="n">
        <f aca="false">COUNTIF('B Business'!J4:J10,"Correction")</f>
        <v>0</v>
      </c>
      <c r="E6" s="10" t="n">
        <f aca="false">COUNTIF('B Business'!J4:J10,"Clarification")</f>
        <v>0</v>
      </c>
      <c r="F6" s="10" t="n">
        <f aca="false">COUNTIF('B Business'!J4:J10,"Enhancement")</f>
        <v>0</v>
      </c>
      <c r="G6" s="10" t="n">
        <f aca="false">COUNTIF('B Business'!J4:J10,"Objection")</f>
        <v>0</v>
      </c>
      <c r="H6" s="10" t="n">
        <f aca="false">COUNTIF('B Business'!J4:J10,"N/A")</f>
        <v>0</v>
      </c>
      <c r="I6" s="10" t="n">
        <f aca="false">COUNTIF('B Business'!J4:J10,"Pending")</f>
        <v>7</v>
      </c>
      <c r="J6" s="22" t="n">
        <f aca="false">IF(B6=0,0,(B6-I6)/B6)</f>
        <v>0</v>
      </c>
    </row>
    <row r="7" customFormat="false" ht="15" hidden="false" customHeight="false" outlineLevel="0" collapsed="false">
      <c r="A7" s="21" t="s">
        <v>895</v>
      </c>
      <c r="B7" s="10" t="n">
        <v>6</v>
      </c>
      <c r="C7" s="10" t="n">
        <f aca="false">COUNTIF('D Data'!J4:J9,"Confirmed OK")</f>
        <v>0</v>
      </c>
      <c r="D7" s="10" t="n">
        <f aca="false">COUNTIF('D Data'!J4:J9,"Correction")</f>
        <v>0</v>
      </c>
      <c r="E7" s="10" t="n">
        <f aca="false">COUNTIF('D Data'!J4:J9,"Clarification")</f>
        <v>0</v>
      </c>
      <c r="F7" s="10" t="n">
        <f aca="false">COUNTIF('D Data'!J4:J9,"Enhancement")</f>
        <v>0</v>
      </c>
      <c r="G7" s="10" t="n">
        <f aca="false">COUNTIF('D Data'!J4:J9,"Objection")</f>
        <v>0</v>
      </c>
      <c r="H7" s="10" t="n">
        <f aca="false">COUNTIF('D Data'!J4:J9,"N/A")</f>
        <v>0</v>
      </c>
      <c r="I7" s="10" t="n">
        <f aca="false">COUNTIF('D Data'!J4:J9,"Pending")</f>
        <v>6</v>
      </c>
      <c r="J7" s="22" t="n">
        <f aca="false">IF(B7=0,0,(B7-I7)/B7)</f>
        <v>0</v>
      </c>
    </row>
    <row r="8" customFormat="false" ht="15" hidden="false" customHeight="false" outlineLevel="0" collapsed="false">
      <c r="A8" s="21" t="s">
        <v>896</v>
      </c>
      <c r="B8" s="10" t="n">
        <v>8</v>
      </c>
      <c r="C8" s="10" t="n">
        <f aca="false">COUNTIF('A Application'!J4:J11,"Confirmed OK")</f>
        <v>0</v>
      </c>
      <c r="D8" s="10" t="n">
        <f aca="false">COUNTIF('A Application'!J4:J11,"Correction")</f>
        <v>0</v>
      </c>
      <c r="E8" s="10" t="n">
        <f aca="false">COUNTIF('A Application'!J4:J11,"Clarification")</f>
        <v>0</v>
      </c>
      <c r="F8" s="10" t="n">
        <f aca="false">COUNTIF('A Application'!J4:J11,"Enhancement")</f>
        <v>0</v>
      </c>
      <c r="G8" s="10" t="n">
        <f aca="false">COUNTIF('A Application'!J4:J11,"Objection")</f>
        <v>0</v>
      </c>
      <c r="H8" s="10" t="n">
        <f aca="false">COUNTIF('A Application'!J4:J11,"N/A")</f>
        <v>0</v>
      </c>
      <c r="I8" s="10" t="n">
        <f aca="false">COUNTIF('A Application'!J4:J11,"Pending")</f>
        <v>8</v>
      </c>
      <c r="J8" s="22" t="n">
        <f aca="false">IF(B8=0,0,(B8-I8)/B8)</f>
        <v>0</v>
      </c>
    </row>
    <row r="9" customFormat="false" ht="15" hidden="false" customHeight="false" outlineLevel="0" collapsed="false">
      <c r="A9" s="21" t="s">
        <v>897</v>
      </c>
      <c r="B9" s="10" t="n">
        <v>5</v>
      </c>
      <c r="C9" s="10" t="n">
        <f aca="false">COUNTIF('I Integration'!J4:J8,"Confirmed OK")</f>
        <v>0</v>
      </c>
      <c r="D9" s="10" t="n">
        <f aca="false">COUNTIF('I Integration'!J4:J8,"Correction")</f>
        <v>0</v>
      </c>
      <c r="E9" s="10" t="n">
        <f aca="false">COUNTIF('I Integration'!J4:J8,"Clarification")</f>
        <v>0</v>
      </c>
      <c r="F9" s="10" t="n">
        <f aca="false">COUNTIF('I Integration'!J4:J8,"Enhancement")</f>
        <v>0</v>
      </c>
      <c r="G9" s="10" t="n">
        <f aca="false">COUNTIF('I Integration'!J4:J8,"Objection")</f>
        <v>0</v>
      </c>
      <c r="H9" s="10" t="n">
        <f aca="false">COUNTIF('I Integration'!J4:J8,"N/A")</f>
        <v>0</v>
      </c>
      <c r="I9" s="10" t="n">
        <f aca="false">COUNTIF('I Integration'!J4:J8,"Pending")</f>
        <v>5</v>
      </c>
      <c r="J9" s="22" t="n">
        <f aca="false">IF(B9=0,0,(B9-I9)/B9)</f>
        <v>0</v>
      </c>
    </row>
    <row r="10" customFormat="false" ht="15" hidden="false" customHeight="false" outlineLevel="0" collapsed="false">
      <c r="A10" s="21" t="s">
        <v>898</v>
      </c>
      <c r="B10" s="10" t="n">
        <v>6</v>
      </c>
      <c r="C10" s="10" t="n">
        <f aca="false">COUNTIF('T Technology'!J4:J9,"Confirmed OK")</f>
        <v>0</v>
      </c>
      <c r="D10" s="10" t="n">
        <f aca="false">COUNTIF('T Technology'!J4:J9,"Correction")</f>
        <v>0</v>
      </c>
      <c r="E10" s="10" t="n">
        <f aca="false">COUNTIF('T Technology'!J4:J9,"Clarification")</f>
        <v>0</v>
      </c>
      <c r="F10" s="10" t="n">
        <f aca="false">COUNTIF('T Technology'!J4:J9,"Enhancement")</f>
        <v>0</v>
      </c>
      <c r="G10" s="10" t="n">
        <f aca="false">COUNTIF('T Technology'!J4:J9,"Objection")</f>
        <v>0</v>
      </c>
      <c r="H10" s="10" t="n">
        <f aca="false">COUNTIF('T Technology'!J4:J9,"N/A")</f>
        <v>0</v>
      </c>
      <c r="I10" s="10" t="n">
        <f aca="false">COUNTIF('T Technology'!J4:J9,"Pending")</f>
        <v>6</v>
      </c>
      <c r="J10" s="22" t="n">
        <f aca="false">IF(B10=0,0,(B10-I10)/B10)</f>
        <v>0</v>
      </c>
    </row>
    <row r="11" customFormat="false" ht="15" hidden="false" customHeight="false" outlineLevel="0" collapsed="false">
      <c r="A11" s="21" t="s">
        <v>899</v>
      </c>
      <c r="B11" s="10" t="n">
        <v>7</v>
      </c>
      <c r="C11" s="10" t="n">
        <f aca="false">COUNTIF('R1 Timeline'!J4:J10,"Confirmed OK")</f>
        <v>0</v>
      </c>
      <c r="D11" s="10" t="n">
        <f aca="false">COUNTIF('R1 Timeline'!J4:J10,"Correction")</f>
        <v>0</v>
      </c>
      <c r="E11" s="10" t="n">
        <f aca="false">COUNTIF('R1 Timeline'!J4:J10,"Clarification")</f>
        <v>0</v>
      </c>
      <c r="F11" s="10" t="n">
        <f aca="false">COUNTIF('R1 Timeline'!J4:J10,"Enhancement")</f>
        <v>0</v>
      </c>
      <c r="G11" s="10" t="n">
        <f aca="false">COUNTIF('R1 Timeline'!J4:J10,"Objection")</f>
        <v>0</v>
      </c>
      <c r="H11" s="10" t="n">
        <f aca="false">COUNTIF('R1 Timeline'!J4:J10,"N/A")</f>
        <v>0</v>
      </c>
      <c r="I11" s="10" t="n">
        <f aca="false">COUNTIF('R1 Timeline'!J4:J10,"Pending")</f>
        <v>7</v>
      </c>
      <c r="J11" s="22" t="n">
        <f aca="false">IF(B11=0,0,(B11-I11)/B11)</f>
        <v>0</v>
      </c>
    </row>
    <row r="12" customFormat="false" ht="15" hidden="false" customHeight="false" outlineLevel="0" collapsed="false">
      <c r="A12" s="21" t="s">
        <v>900</v>
      </c>
      <c r="B12" s="10" t="n">
        <v>5</v>
      </c>
      <c r="C12" s="10" t="n">
        <f aca="false">COUNTIF('R2 Investment'!J4:J8,"Confirmed OK")</f>
        <v>0</v>
      </c>
      <c r="D12" s="10" t="n">
        <f aca="false">COUNTIF('R2 Investment'!J4:J8,"Correction")</f>
        <v>0</v>
      </c>
      <c r="E12" s="10" t="n">
        <f aca="false">COUNTIF('R2 Investment'!J4:J8,"Clarification")</f>
        <v>0</v>
      </c>
      <c r="F12" s="10" t="n">
        <f aca="false">COUNTIF('R2 Investment'!J4:J8,"Enhancement")</f>
        <v>0</v>
      </c>
      <c r="G12" s="10" t="n">
        <f aca="false">COUNTIF('R2 Investment'!J4:J8,"Objection")</f>
        <v>0</v>
      </c>
      <c r="H12" s="10" t="n">
        <f aca="false">COUNTIF('R2 Investment'!J4:J8,"N/A")</f>
        <v>0</v>
      </c>
      <c r="I12" s="10" t="n">
        <f aca="false">COUNTIF('R2 Investment'!J4:J8,"Pending")</f>
        <v>5</v>
      </c>
      <c r="J12" s="22" t="n">
        <f aca="false">IF(B12=0,0,(B12-I12)/B12)</f>
        <v>0</v>
      </c>
    </row>
    <row r="13" customFormat="false" ht="15" hidden="false" customHeight="false" outlineLevel="0" collapsed="false">
      <c r="A13" s="21" t="s">
        <v>901</v>
      </c>
      <c r="B13" s="10" t="n">
        <v>3</v>
      </c>
      <c r="C13" s="10" t="n">
        <f aca="false">COUNTIF('R3 Risks'!J4:J6,"Confirmed OK")</f>
        <v>0</v>
      </c>
      <c r="D13" s="10" t="n">
        <f aca="false">COUNTIF('R3 Risks'!J4:J6,"Correction")</f>
        <v>0</v>
      </c>
      <c r="E13" s="10" t="n">
        <f aca="false">COUNTIF('R3 Risks'!J4:J6,"Clarification")</f>
        <v>0</v>
      </c>
      <c r="F13" s="10" t="n">
        <f aca="false">COUNTIF('R3 Risks'!J4:J6,"Enhancement")</f>
        <v>0</v>
      </c>
      <c r="G13" s="10" t="n">
        <f aca="false">COUNTIF('R3 Risks'!J4:J6,"Objection")</f>
        <v>0</v>
      </c>
      <c r="H13" s="10" t="n">
        <f aca="false">COUNTIF('R3 Risks'!J4:J6,"N/A")</f>
        <v>0</v>
      </c>
      <c r="I13" s="10" t="n">
        <f aca="false">COUNTIF('R3 Risks'!J4:J6,"Pending")</f>
        <v>3</v>
      </c>
      <c r="J13" s="22" t="n">
        <f aca="false">IF(B13=0,0,(B13-I13)/B13)</f>
        <v>0</v>
      </c>
    </row>
    <row r="14" customFormat="false" ht="15" hidden="false" customHeight="false" outlineLevel="0" collapsed="false">
      <c r="A14" s="21" t="s">
        <v>902</v>
      </c>
      <c r="B14" s="10" t="n">
        <v>5</v>
      </c>
      <c r="C14" s="10" t="n">
        <f aca="false">COUNTIF('R4 Governance'!J4:J8,"Confirmed OK")</f>
        <v>0</v>
      </c>
      <c r="D14" s="10" t="n">
        <f aca="false">COUNTIF('R4 Governance'!J4:J8,"Correction")</f>
        <v>0</v>
      </c>
      <c r="E14" s="10" t="n">
        <f aca="false">COUNTIF('R4 Governance'!J4:J8,"Clarification")</f>
        <v>0</v>
      </c>
      <c r="F14" s="10" t="n">
        <f aca="false">COUNTIF('R4 Governance'!J4:J8,"Enhancement")</f>
        <v>0</v>
      </c>
      <c r="G14" s="10" t="n">
        <f aca="false">COUNTIF('R4 Governance'!J4:J8,"Objection")</f>
        <v>0</v>
      </c>
      <c r="H14" s="10" t="n">
        <f aca="false">COUNTIF('R4 Governance'!J4:J8,"N/A")</f>
        <v>0</v>
      </c>
      <c r="I14" s="10" t="n">
        <f aca="false">COUNTIF('R4 Governance'!J4:J8,"Pending")</f>
        <v>5</v>
      </c>
      <c r="J14" s="22" t="n">
        <f aca="false">IF(B14=0,0,(B14-I14)/B14)</f>
        <v>0</v>
      </c>
    </row>
    <row r="15" customFormat="false" ht="15" hidden="false" customHeight="false" outlineLevel="0" collapsed="false">
      <c r="A15" s="23" t="s">
        <v>903</v>
      </c>
      <c r="B15" s="23" t="n">
        <f aca="false">SUM(B6:B14)</f>
        <v>52</v>
      </c>
      <c r="C15" s="23" t="n">
        <f aca="false">SUM(C6:C14)</f>
        <v>0</v>
      </c>
      <c r="D15" s="23" t="n">
        <f aca="false">SUM(D6:D14)</f>
        <v>0</v>
      </c>
      <c r="E15" s="23" t="n">
        <f aca="false">SUM(E6:E14)</f>
        <v>0</v>
      </c>
      <c r="F15" s="23" t="n">
        <f aca="false">SUM(F6:F14)</f>
        <v>0</v>
      </c>
      <c r="G15" s="23" t="n">
        <f aca="false">SUM(G6:G14)</f>
        <v>0</v>
      </c>
      <c r="H15" s="23" t="n">
        <f aca="false">SUM(H6:H14)</f>
        <v>0</v>
      </c>
      <c r="I15" s="23" t="n">
        <f aca="false">SUM(I6:I14)</f>
        <v>52</v>
      </c>
      <c r="J15" s="24" t="n">
        <f aca="false">IF(B15=0,0,(B15-I15)/B15)</f>
        <v>0</v>
      </c>
    </row>
    <row r="17" customFormat="false" ht="16.15" hidden="false" customHeight="false" outlineLevel="0" collapsed="false">
      <c r="A17" s="20" t="s">
        <v>904</v>
      </c>
    </row>
    <row r="19" customFormat="false" ht="15" hidden="false" customHeight="false" outlineLevel="0" collapsed="false">
      <c r="A19" s="17" t="s">
        <v>890</v>
      </c>
      <c r="B19" s="17" t="s">
        <v>891</v>
      </c>
      <c r="C19" s="17" t="s">
        <v>905</v>
      </c>
      <c r="D19" s="17" t="s">
        <v>906</v>
      </c>
      <c r="E19" s="17" t="s">
        <v>46</v>
      </c>
      <c r="F19" s="17" t="s">
        <v>907</v>
      </c>
      <c r="G19" s="17" t="s">
        <v>908</v>
      </c>
      <c r="H19" s="17" t="s">
        <v>44</v>
      </c>
      <c r="I19" s="17" t="s">
        <v>909</v>
      </c>
    </row>
    <row r="20" customFormat="false" ht="15" hidden="false" customHeight="false" outlineLevel="0" collapsed="false">
      <c r="A20" s="21" t="s">
        <v>910</v>
      </c>
      <c r="B20" s="10" t="n">
        <v>15</v>
      </c>
      <c r="C20" s="10" t="n">
        <f aca="false">COUNTIF('V0 Pre-workshop'!G4:G18,"Done")</f>
        <v>0</v>
      </c>
      <c r="D20" s="10" t="n">
        <f aca="false">COUNTIF('V0 Pre-workshop'!G4:G18,"In progress")</f>
        <v>0</v>
      </c>
      <c r="E20" s="10" t="n">
        <f aca="false">COUNTIF('V0 Pre-workshop'!G4:G18,"Pending")</f>
        <v>15</v>
      </c>
      <c r="F20" s="10" t="n">
        <f aca="false">COUNTIF('V0 Pre-workshop'!G4:G18,"Blocked")</f>
        <v>0</v>
      </c>
      <c r="G20" s="10" t="n">
        <f aca="false">COUNTIF('V0 Pre-workshop'!G4:G18,"Failed")</f>
        <v>0</v>
      </c>
      <c r="H20" s="10" t="n">
        <f aca="false">COUNTIF('V0 Pre-workshop'!G4:G18,"N/A")</f>
        <v>0</v>
      </c>
      <c r="I20" s="22" t="n">
        <f aca="false">IF(B20=0,0,C20/B20)</f>
        <v>0</v>
      </c>
    </row>
    <row r="21" customFormat="false" ht="15" hidden="false" customHeight="false" outlineLevel="0" collapsed="false">
      <c r="A21" s="21" t="s">
        <v>911</v>
      </c>
      <c r="B21" s="10" t="n">
        <v>8</v>
      </c>
      <c r="C21" s="10" t="n">
        <f aca="false">COUNTIF('P Premise'!G4:G11,"Done")</f>
        <v>0</v>
      </c>
      <c r="D21" s="10" t="n">
        <f aca="false">COUNTIF('P Premise'!G4:G11,"In progress")</f>
        <v>0</v>
      </c>
      <c r="E21" s="10" t="n">
        <f aca="false">COUNTIF('P Premise'!G4:G11,"Pending")</f>
        <v>8</v>
      </c>
      <c r="F21" s="10" t="n">
        <f aca="false">COUNTIF('P Premise'!G4:G11,"Blocked")</f>
        <v>0</v>
      </c>
      <c r="G21" s="10" t="n">
        <f aca="false">COUNTIF('P Premise'!G4:G11,"Failed")</f>
        <v>0</v>
      </c>
      <c r="H21" s="10" t="n">
        <f aca="false">COUNTIF('P Premise'!G4:G11,"N/A")</f>
        <v>0</v>
      </c>
      <c r="I21" s="22" t="n">
        <f aca="false">IF(B21=0,0,C21/B21)</f>
        <v>0</v>
      </c>
    </row>
    <row r="22" customFormat="false" ht="15" hidden="false" customHeight="false" outlineLevel="0" collapsed="false">
      <c r="A22" s="21" t="s">
        <v>912</v>
      </c>
      <c r="B22" s="10" t="n">
        <v>10</v>
      </c>
      <c r="C22" s="10" t="n">
        <f aca="false">COUNTIF('G Commitments'!G4:G13,"Done")</f>
        <v>0</v>
      </c>
      <c r="D22" s="10" t="n">
        <f aca="false">COUNTIF('G Commitments'!G4:G13,"In progress")</f>
        <v>0</v>
      </c>
      <c r="E22" s="10" t="n">
        <f aca="false">COUNTIF('G Commitments'!G4:G13,"Pending")</f>
        <v>10</v>
      </c>
      <c r="F22" s="10" t="n">
        <f aca="false">COUNTIF('G Commitments'!G4:G13,"Blocked")</f>
        <v>0</v>
      </c>
      <c r="G22" s="10" t="n">
        <f aca="false">COUNTIF('G Commitments'!G4:G13,"Failed")</f>
        <v>0</v>
      </c>
      <c r="H22" s="10" t="n">
        <f aca="false">COUNTIF('G Commitments'!G4:G13,"N/A")</f>
        <v>0</v>
      </c>
      <c r="I22" s="22" t="n">
        <f aca="false">IF(B22=0,0,C22/B22)</f>
        <v>0</v>
      </c>
    </row>
    <row r="23" customFormat="false" ht="15" hidden="false" customHeight="false" outlineLevel="0" collapsed="false">
      <c r="A23" s="21" t="s">
        <v>913</v>
      </c>
      <c r="B23" s="10" t="n">
        <v>6</v>
      </c>
      <c r="C23" s="10" t="n">
        <f aca="false">COUNTIF('L Legal'!G4:G9,"Done")</f>
        <v>0</v>
      </c>
      <c r="D23" s="10" t="n">
        <f aca="false">COUNTIF('L Legal'!G4:G9,"In progress")</f>
        <v>0</v>
      </c>
      <c r="E23" s="10" t="n">
        <f aca="false">COUNTIF('L Legal'!G4:G9,"Pending")</f>
        <v>6</v>
      </c>
      <c r="F23" s="10" t="n">
        <f aca="false">COUNTIF('L Legal'!G4:G9,"Blocked")</f>
        <v>0</v>
      </c>
      <c r="G23" s="10" t="n">
        <f aca="false">COUNTIF('L Legal'!G4:G9,"Failed")</f>
        <v>0</v>
      </c>
      <c r="H23" s="10" t="n">
        <f aca="false">COUNTIF('L Legal'!G4:G9,"N/A")</f>
        <v>0</v>
      </c>
      <c r="I23" s="22" t="n">
        <f aca="false">IF(B23=0,0,C23/B23)</f>
        <v>0</v>
      </c>
    </row>
    <row r="24" customFormat="false" ht="15" hidden="false" customHeight="false" outlineLevel="0" collapsed="false">
      <c r="A24" s="21" t="s">
        <v>914</v>
      </c>
      <c r="B24" s="10" t="n">
        <v>10</v>
      </c>
      <c r="C24" s="10" t="n">
        <f aca="false">COUNTIF('X Cross-ref'!G4:G13,"Done")</f>
        <v>0</v>
      </c>
      <c r="D24" s="10" t="n">
        <f aca="false">COUNTIF('X Cross-ref'!G4:G13,"In progress")</f>
        <v>0</v>
      </c>
      <c r="E24" s="10" t="n">
        <f aca="false">COUNTIF('X Cross-ref'!G4:G13,"Pending")</f>
        <v>10</v>
      </c>
      <c r="F24" s="10" t="n">
        <f aca="false">COUNTIF('X Cross-ref'!G4:G13,"Blocked")</f>
        <v>0</v>
      </c>
      <c r="G24" s="10" t="n">
        <f aca="false">COUNTIF('X Cross-ref'!G4:G13,"Failed")</f>
        <v>0</v>
      </c>
      <c r="H24" s="10" t="n">
        <f aca="false">COUNTIF('X Cross-ref'!G4:G13,"N/A")</f>
        <v>0</v>
      </c>
      <c r="I24" s="22" t="n">
        <f aca="false">IF(B24=0,0,C24/B24)</f>
        <v>0</v>
      </c>
    </row>
    <row r="25" customFormat="false" ht="15" hidden="false" customHeight="false" outlineLevel="0" collapsed="false">
      <c r="A25" s="21" t="s">
        <v>915</v>
      </c>
      <c r="B25" s="10" t="n">
        <v>12</v>
      </c>
      <c r="C25" s="10" t="n">
        <f aca="false">COUNTIF('K Risks'!G4:G15,"Done")</f>
        <v>0</v>
      </c>
      <c r="D25" s="10" t="n">
        <f aca="false">COUNTIF('K Risks'!G4:G15,"In progress")</f>
        <v>0</v>
      </c>
      <c r="E25" s="10" t="n">
        <f aca="false">COUNTIF('K Risks'!G4:G15,"Pending")</f>
        <v>12</v>
      </c>
      <c r="F25" s="10" t="n">
        <f aca="false">COUNTIF('K Risks'!G4:G15,"Blocked")</f>
        <v>0</v>
      </c>
      <c r="G25" s="10" t="n">
        <f aca="false">COUNTIF('K Risks'!G4:G15,"Failed")</f>
        <v>0</v>
      </c>
      <c r="H25" s="10" t="n">
        <f aca="false">COUNTIF('K Risks'!G4:G15,"N/A")</f>
        <v>0</v>
      </c>
      <c r="I25" s="22" t="n">
        <f aca="false">IF(B25=0,0,C25/B25)</f>
        <v>0</v>
      </c>
    </row>
    <row r="26" customFormat="false" ht="15" hidden="false" customHeight="false" outlineLevel="0" collapsed="false">
      <c r="A26" s="21" t="s">
        <v>916</v>
      </c>
      <c r="B26" s="10" t="n">
        <v>5</v>
      </c>
      <c r="C26" s="10" t="n">
        <f aca="false">COUNTIF('S Coverage'!G4:G8,"Done")</f>
        <v>0</v>
      </c>
      <c r="D26" s="10" t="n">
        <f aca="false">COUNTIF('S Coverage'!G4:G8,"In progress")</f>
        <v>0</v>
      </c>
      <c r="E26" s="10" t="n">
        <f aca="false">COUNTIF('S Coverage'!G4:G8,"Pending")</f>
        <v>5</v>
      </c>
      <c r="F26" s="10" t="n">
        <f aca="false">COUNTIF('S Coverage'!G4:G8,"Blocked")</f>
        <v>0</v>
      </c>
      <c r="G26" s="10" t="n">
        <f aca="false">COUNTIF('S Coverage'!G4:G8,"Failed")</f>
        <v>0</v>
      </c>
      <c r="H26" s="10" t="n">
        <f aca="false">COUNTIF('S Coverage'!G4:G8,"N/A")</f>
        <v>0</v>
      </c>
      <c r="I26" s="22" t="n">
        <f aca="false">IF(B26=0,0,C26/B26)</f>
        <v>0</v>
      </c>
    </row>
    <row r="27" customFormat="false" ht="15" hidden="false" customHeight="false" outlineLevel="0" collapsed="false">
      <c r="A27" s="21" t="s">
        <v>917</v>
      </c>
      <c r="B27" s="10" t="n">
        <v>6</v>
      </c>
      <c r="C27" s="10" t="n">
        <f aca="false">COUNTIF('PR Process'!G4:G9,"Done")</f>
        <v>0</v>
      </c>
      <c r="D27" s="10" t="n">
        <f aca="false">COUNTIF('PR Process'!G4:G9,"In progress")</f>
        <v>0</v>
      </c>
      <c r="E27" s="10" t="n">
        <f aca="false">COUNTIF('PR Process'!G4:G9,"Pending")</f>
        <v>6</v>
      </c>
      <c r="F27" s="10" t="n">
        <f aca="false">COUNTIF('PR Process'!G4:G9,"Blocked")</f>
        <v>0</v>
      </c>
      <c r="G27" s="10" t="n">
        <f aca="false">COUNTIF('PR Process'!G4:G9,"Failed")</f>
        <v>0</v>
      </c>
      <c r="H27" s="10" t="n">
        <f aca="false">COUNTIF('PR Process'!G4:G9,"N/A")</f>
        <v>0</v>
      </c>
      <c r="I27" s="22" t="n">
        <f aca="false">IF(B27=0,0,C27/B27)</f>
        <v>0</v>
      </c>
    </row>
    <row r="28" customFormat="false" ht="15" hidden="false" customHeight="false" outlineLevel="0" collapsed="false">
      <c r="A28" s="23" t="s">
        <v>918</v>
      </c>
      <c r="B28" s="23" t="n">
        <f aca="false">SUM(B20:B27)</f>
        <v>72</v>
      </c>
      <c r="C28" s="23" t="n">
        <f aca="false">SUM(C20:C27)</f>
        <v>0</v>
      </c>
      <c r="D28" s="23" t="n">
        <f aca="false">SUM(D20:D27)</f>
        <v>0</v>
      </c>
      <c r="E28" s="23" t="n">
        <f aca="false">SUM(E20:E27)</f>
        <v>72</v>
      </c>
      <c r="F28" s="23" t="n">
        <f aca="false">SUM(F20:F27)</f>
        <v>0</v>
      </c>
      <c r="G28" s="23" t="n">
        <f aca="false">SUM(G20:G27)</f>
        <v>0</v>
      </c>
      <c r="H28" s="23" t="n">
        <f aca="false">SUM(H20:H27)</f>
        <v>0</v>
      </c>
      <c r="I28" s="24" t="n">
        <f aca="false">IF(B28=0,0,C28/B28)</f>
        <v>0</v>
      </c>
    </row>
    <row r="31" customFormat="false" ht="16.15" hidden="false" customHeight="false" outlineLevel="0" collapsed="false">
      <c r="A31" s="20" t="s">
        <v>919</v>
      </c>
    </row>
    <row r="32" customFormat="false" ht="46.25" hidden="false" customHeight="false" outlineLevel="0" collapsed="false">
      <c r="A32" s="21" t="s">
        <v>920</v>
      </c>
      <c r="B32" s="10" t="s">
        <v>921</v>
      </c>
      <c r="C32" s="12" t="str">
        <f aca="false">IF(I15=0,"PASS","FAIL")</f>
        <v>FAIL</v>
      </c>
    </row>
    <row r="33" customFormat="false" ht="91" hidden="false" customHeight="false" outlineLevel="0" collapsed="false">
      <c r="A33" s="21" t="s">
        <v>922</v>
      </c>
      <c r="B33" s="10" t="s">
        <v>923</v>
      </c>
      <c r="C33" s="12" t="str">
        <f aca="false">IF(E28+F28+G28=0,"PASS","FAIL")</f>
        <v>FAIL</v>
      </c>
    </row>
    <row r="34" customFormat="false" ht="79.85" hidden="false" customHeight="false" outlineLevel="0" collapsed="false">
      <c r="A34" s="21" t="s">
        <v>924</v>
      </c>
      <c r="B34" s="10" t="s">
        <v>925</v>
      </c>
      <c r="C34" s="12" t="s">
        <v>926</v>
      </c>
    </row>
    <row r="35" customFormat="false" ht="57.45" hidden="false" customHeight="false" outlineLevel="0" collapsed="false">
      <c r="A35" s="21" t="s">
        <v>927</v>
      </c>
      <c r="B35" s="10" t="s">
        <v>928</v>
      </c>
      <c r="C35" s="12" t="s">
        <v>929</v>
      </c>
    </row>
    <row r="36" customFormat="false" ht="57.45" hidden="false" customHeight="false" outlineLevel="0" collapsed="false">
      <c r="A36" s="21" t="s">
        <v>930</v>
      </c>
      <c r="B36" s="10" t="s">
        <v>931</v>
      </c>
      <c r="C36" s="12" t="s">
        <v>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2026-04-19T13:34:03Z</dcterms:created>
  <dc:creator>openpyxl</dc:creator>
  <dc:description/>
  <dc:language>en-US</dc:language>
  <cp:lastModifiedBy/>
  <dcterms:modified xsi:type="dcterms:W3CDTF">2026-04-19T13:34:03Z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